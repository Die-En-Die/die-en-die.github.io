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tables/table15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tables/table11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6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ventar" sheetId="1" state="visible" r:id="rId1"/>
    <sheet name="Rucksack" sheetId="2" state="visible" r:id="rId2"/>
    <sheet name="Beutel" sheetId="3" state="visible" r:id="rId3"/>
    <sheet name="Kiste" sheetId="4" state="visible" r:id="rId4"/>
    <sheet name="Korb" sheetId="5" state="visible" r:id="rId5"/>
    <sheet name="Sack" sheetId="6" state="visible" r:id="rId6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<sst xmlns="http://schemas.openxmlformats.org/spreadsheetml/2006/main" count="13" uniqueCount="13">
  <si>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>Taschen</t>
  </si>
  <si>
    <t>Anz.</t>
  </si>
  <si>
    <t>Gew.</t>
  </si>
  <si>
    <t>Teilgew.</t>
  </si>
  <si>
    <t>Kleidung/Rüstung</t>
  </si>
  <si>
    <t>Waffen/Items</t>
  </si>
  <si>
    <t>Gewicht</t>
  </si>
  <si>
    <t>Anzahl</t>
  </si>
  <si>
    <t xml:space="preserve">max Gew.</t>
  </si>
  <si>
    <t>belastet</t>
  </si>
  <si>
    <t xml:space="preserve">stark belastet</t>
  </si>
  <si>
    <t>Gegenstand</t>
  </si>
  <si>
    <t>Eigengewicht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</si>
</sst>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sz val="11.000000"/>
      <color theme="0"/>
      <name val="Calibri"/>
      <scheme val="minor"/>
    </font>
    <font>
      <sz val="11.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none"/>
    </fill>
  </fills>
  <borders count="15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n">
        <color theme="2" tint="-0.249977111117893"/>
      </bottom>
      <diagonal style="none"/>
    </border>
    <border>
      <left style="thin">
        <color auto="1"/>
      </left>
      <right style="none"/>
      <top style="none"/>
      <bottom style="thin">
        <color theme="2" tint="-0.249977111117893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thin">
        <color theme="2" tint="-0.249977111117893"/>
      </top>
      <bottom style="thin">
        <color theme="2" tint="-0.249977111117893"/>
      </bottom>
      <diagonal style="none"/>
    </border>
    <border>
      <left style="thin">
        <color auto="1"/>
      </left>
      <right style="none"/>
      <top style="thin">
        <color theme="2" tint="-0.249977111117893"/>
      </top>
      <bottom style="thin">
        <color theme="2" tint="-0.249977111117893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thin">
        <color theme="2" tint="-0.249977111117893"/>
      </top>
      <bottom style="none"/>
      <diagonal style="none"/>
    </border>
    <border>
      <left style="thin">
        <color auto="1"/>
      </left>
      <right style="none"/>
      <top style="thin">
        <color theme="2" tint="-0.249977111117893"/>
      </top>
      <bottom style="none"/>
      <diagonal style="none"/>
    </border>
    <border>
      <left style="thin">
        <color theme="1" tint="0"/>
      </left>
      <right style="none"/>
      <top style="none"/>
      <bottom style="thin">
        <color theme="2" tint="-0.249977111117893"/>
      </bottom>
      <diagonal style="none"/>
    </border>
    <border>
      <left style="thin">
        <color theme="1" tint="0"/>
      </left>
      <right style="none"/>
      <top style="thin">
        <color theme="2" tint="-0.249977111117893"/>
      </top>
      <bottom style="thin">
        <color theme="2" tint="-0.249977111117893"/>
      </bottom>
      <diagonal style="none"/>
    </border>
    <border>
      <left style="thin">
        <color theme="1" tint="0"/>
      </left>
      <right style="none"/>
      <top style="thin">
        <color theme="2" tint="-0.249977111117893"/>
      </top>
      <bottom style="none"/>
      <diagonal style="none"/>
    </border>
  </borders>
  <cellStyleXfs count="7">
    <xf fontId="0" fillId="0" borderId="0" numFmtId="0" applyNumberFormat="1" applyFont="1" applyFill="1" applyBorder="1"/>
    <xf fontId="1" fillId="2" borderId="1" numFmtId="0" applyNumberFormat="0" applyFont="1" applyFill="1" applyBorder="1"/>
    <xf fontId="2" fillId="3" borderId="0" numFmtId="0" applyNumberFormat="0" applyFont="1" applyFill="1" applyBorder="0"/>
    <xf fontId="0" fillId="4" borderId="0" numFmtId="0" applyNumberFormat="0" applyFont="1" applyFill="1" applyBorder="0"/>
    <xf fontId="0" fillId="5" borderId="0" numFmtId="0" applyNumberFormat="0" applyFont="1" applyFill="1" applyBorder="0"/>
    <xf fontId="0" fillId="6" borderId="0" numFmtId="9" applyNumberFormat="1" applyFont="0" applyFill="0" applyBorder="0"/>
    <xf fontId="0" fillId="6" borderId="0" numFmtId="44" applyNumberFormat="1" applyFont="0" applyFill="0" applyBorder="0"/>
  </cellStyleXfs>
  <cellXfs count="24">
    <xf fontId="0" fillId="0" borderId="0" numFmtId="0" xfId="0"/>
    <xf fontId="2" fillId="3" borderId="0" numFmtId="0" xfId="2" applyFont="1" applyFill="1"/>
    <xf fontId="0" fillId="5" borderId="2" numFmtId="0" xfId="4" applyFill="1" applyBorder="1"/>
    <xf fontId="0" fillId="5" borderId="3" numFmtId="0" xfId="4" applyFill="1" applyBorder="1"/>
    <xf fontId="0" fillId="5" borderId="0" numFmtId="0" xfId="4" applyFill="1"/>
    <xf fontId="0" fillId="5" borderId="4" numFmtId="0" xfId="4" applyFill="1" applyBorder="1"/>
    <xf fontId="0" fillId="5" borderId="5" numFmtId="0" xfId="4" applyFill="1" applyBorder="1"/>
    <xf fontId="0" fillId="5" borderId="6" numFmtId="0" xfId="4" applyFill="1" applyBorder="1"/>
    <xf fontId="0" fillId="5" borderId="7" numFmtId="0" xfId="4" applyFill="1" applyBorder="1"/>
    <xf fontId="0" fillId="5" borderId="4" numFmtId="0" xfId="5" applyFill="1" applyBorder="1"/>
    <xf fontId="3" fillId="5" borderId="5" numFmtId="0" xfId="4" applyFont="1" applyFill="1" applyBorder="1"/>
    <xf fontId="0" fillId="5" borderId="8" numFmtId="0" xfId="4" applyFill="1" applyBorder="1"/>
    <xf fontId="3" fillId="5" borderId="9" numFmtId="0" xfId="4" applyFont="1" applyFill="1" applyBorder="1"/>
    <xf fontId="0" fillId="5" borderId="10" numFmtId="0" xfId="4" applyFill="1" applyBorder="1"/>
    <xf fontId="0" fillId="5" borderId="11" numFmtId="0" xfId="4" applyFill="1" applyBorder="1"/>
    <xf fontId="0" fillId="5" borderId="4" numFmtId="9" xfId="4" applyNumberFormat="1" applyFill="1" applyBorder="1"/>
    <xf fontId="0" fillId="5" borderId="8" numFmtId="9" xfId="4" applyNumberFormat="1" applyFill="1" applyBorder="1"/>
    <xf fontId="2" fillId="3" borderId="0" numFmtId="49" xfId="2" applyNumberFormat="1" applyFont="1" applyFill="1" applyAlignment="1">
      <alignment wrapText="1"/>
    </xf>
    <xf fontId="0" fillId="5" borderId="2" numFmtId="49" xfId="4" applyNumberFormat="1" applyFill="1" applyBorder="1" applyAlignment="1">
      <alignment wrapText="1"/>
    </xf>
    <xf fontId="0" fillId="5" borderId="12" numFmtId="49" xfId="4" applyNumberFormat="1" applyFill="1" applyBorder="1" applyAlignment="1">
      <alignment wrapText="1"/>
    </xf>
    <xf fontId="0" fillId="5" borderId="6" numFmtId="49" xfId="4" applyNumberFormat="1" applyFill="1" applyBorder="1" applyAlignment="1">
      <alignment wrapText="1"/>
    </xf>
    <xf fontId="0" fillId="5" borderId="13" numFmtId="49" xfId="4" applyNumberFormat="1" applyFill="1" applyBorder="1" applyAlignment="1">
      <alignment wrapText="1"/>
    </xf>
    <xf fontId="0" fillId="5" borderId="10" numFmtId="49" xfId="4" applyNumberFormat="1" applyFill="1" applyBorder="1" applyAlignment="1">
      <alignment wrapText="1"/>
    </xf>
    <xf fontId="0" fillId="5" borderId="14" numFmtId="49" xfId="4" applyNumberFormat="1" applyFill="1" applyBorder="1" applyAlignment="1">
      <alignment wrapText="1"/>
    </xf>
  </cellXfs>
  <cellStyles count="7">
    <cellStyle name="Normal" xfId="0" builtinId="0"/>
    <cellStyle name="Check Cell" xfId="1" builtinId="23"/>
    <cellStyle name="Accent3" xfId="2"/>
    <cellStyle name="40% - Accent3" xfId="3" builtinId="39"/>
    <cellStyle name="20% - Accent3" xfId="4" builtinId="38"/>
    <cellStyle name="Percent" xfId="5" builtinId="5"/>
    <cellStyle name="Currency" xfId="6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le10" ref="A1:D11">
  <autoFilter ref="A1:D11"/>
  <tableColumns count="4">
    <tableColumn id="1" name="Taschen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elle11" ref="E1:H11">
  <autoFilter ref="E1:H11"/>
  <tableColumns count="4">
    <tableColumn id="1" name="Kleidung/Rüstung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elle12" ref="I1:L21">
  <autoFilter ref="I1:L21"/>
  <tableColumns count="4">
    <tableColumn id="1" name="Waffen/Items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elle5" ref="A1:D21">
  <autoFilter ref="A1:D21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elle6" ref="E1:H21">
  <autoFilter ref="E1:H21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elle7" ref="I1:L21">
  <autoFilter ref="I1:L21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elle3" ref="A1:D13">
  <autoFilter ref="A1:D13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elle4" ref="E1:H13">
  <autoFilter ref="E1:H13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elle13" ref="A1:D40">
  <autoFilter ref="A1:D40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elle14" ref="E1:H40">
  <autoFilter ref="E1:H40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elle15" ref="I1:L40">
  <autoFilter ref="I1:L40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elle16" ref="A1:D26">
  <autoFilter ref="A1:D26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elle17" ref="E1:H26">
  <autoFilter ref="E1:H26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abelle18" ref="I1:L26">
  <autoFilter ref="I1:L26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abelle19" ref="A1:D21">
  <autoFilter ref="A1:D21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abelle20" ref="E1:H21">
  <autoFilter ref="E1:H21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abelle21" ref="I1:L21">
  <autoFilter ref="I1:L21"/>
  <tableColumns count="4">
    <tableColumn id="1" name="Gegenstand"/>
    <tableColumn id="2" name="Anz."/>
    <tableColumn id="3" name="Gew."/>
    <tableColumn id="4" name="Teilgew."/>
  </tableColumns>
  <tableStyleInfo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Relationship 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Relationship  Id="rId2" Type="http://schemas.openxmlformats.org/officeDocument/2006/relationships/table" Target="../tables/table5.xml"/><Relationship  Id="rId3" Type="http://schemas.openxmlformats.org/officeDocument/2006/relationships/table" Target="../tables/table6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7.xml"/><Relationship  Id="rId2" Type="http://schemas.openxmlformats.org/officeDocument/2006/relationships/table" Target="../tables/table8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9.xml"/><Relationship  Id="rId2" Type="http://schemas.openxmlformats.org/officeDocument/2006/relationships/table" Target="../tables/table10.xml"/><Relationship  Id="rId3" Type="http://schemas.openxmlformats.org/officeDocument/2006/relationships/table" Target="../tables/table11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table" Target="../tables/table12.xml"/><Relationship  Id="rId2" Type="http://schemas.openxmlformats.org/officeDocument/2006/relationships/table" Target="../tables/table13.xml"/><Relationship  Id="rId3" Type="http://schemas.openxmlformats.org/officeDocument/2006/relationships/table" Target="../tables/table1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table" Target="../tables/table15.xml"/><Relationship  Id="rId2" Type="http://schemas.openxmlformats.org/officeDocument/2006/relationships/table" Target="../tables/table16.xml"/><Relationship 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" width="11.8515625"/>
    <col bestFit="1" customWidth="1" min="2" max="2" style="1" width="7.00390625"/>
    <col bestFit="1" customWidth="1" min="3" max="3" style="1" width="8.00390625"/>
    <col bestFit="1" customWidth="1" min="4" max="4" style="1" width="10.421875"/>
    <col customWidth="1" min="5" max="5" style="1" width="30.7109375"/>
    <col bestFit="1" customWidth="1" min="6" max="6" style="1" width="7.00390625"/>
    <col bestFit="1" customWidth="1" min="7" max="7" style="1" width="7.57421875"/>
    <col bestFit="1" customWidth="1" min="8" max="8" style="1" width="10.421875"/>
    <col customWidth="1" min="9" max="9" style="1" width="30.7109375"/>
    <col bestFit="1" customWidth="1" min="10" max="10" style="1" width="7.00390625"/>
    <col bestFit="1" customWidth="1" min="11" max="11" style="1" width="7.57421875"/>
    <col bestFit="1" customWidth="1" min="12" max="12" style="1" width="10.421875"/>
    <col min="13" max="13" style="1" width="9.140625"/>
    <col bestFit="1" min="14" max="14" style="1" width="12.28125"/>
    <col min="15" max="16384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1</v>
      </c>
      <c r="G1" s="2" t="s">
        <v>2</v>
      </c>
      <c r="H1" s="2" t="s">
        <v>3</v>
      </c>
      <c r="I1" s="3" t="s">
        <v>5</v>
      </c>
      <c r="J1" s="2" t="s">
        <v>1</v>
      </c>
      <c r="K1" s="2" t="s">
        <v>2</v>
      </c>
      <c r="L1" s="2" t="s">
        <v>3</v>
      </c>
      <c r="M1" s="4"/>
      <c r="N1" s="5" t="s">
        <v>6</v>
      </c>
      <c r="O1" s="6">
        <f>SUM(D2:D20,H2:H20,L2:L20)</f>
        <v>0</v>
      </c>
    </row>
    <row r="2" ht="14.25">
      <c r="A2" s="7"/>
      <c r="B2" s="7"/>
      <c r="C2" s="7"/>
      <c r="D2" s="7">
        <f t="shared" ref="D2:D9" si="0">B2*C2</f>
        <v>0</v>
      </c>
      <c r="E2" s="8"/>
      <c r="F2" s="7"/>
      <c r="G2" s="7"/>
      <c r="H2" s="7">
        <f t="shared" ref="H2:H9" si="1">F2*G2</f>
        <v>0</v>
      </c>
      <c r="I2" s="8"/>
      <c r="J2" s="7"/>
      <c r="K2" s="7"/>
      <c r="L2" s="7">
        <f t="shared" ref="L2:L9" si="2">J2*K2</f>
        <v>0</v>
      </c>
      <c r="M2" s="4"/>
      <c r="N2" s="5" t="s">
        <v>7</v>
      </c>
      <c r="O2" s="6">
        <f>SUM(B2:B20,F2:F20,J2:J20)</f>
        <v>0</v>
      </c>
    </row>
    <row r="3" ht="14.25">
      <c r="A3" s="7"/>
      <c r="B3" s="7"/>
      <c r="C3" s="7"/>
      <c r="D3" s="7">
        <f t="shared" si="0"/>
        <v>0</v>
      </c>
      <c r="E3" s="8"/>
      <c r="F3" s="7"/>
      <c r="G3" s="7"/>
      <c r="H3" s="7">
        <f t="shared" si="1"/>
        <v>0</v>
      </c>
      <c r="I3" s="8"/>
      <c r="J3" s="7"/>
      <c r="K3" s="7"/>
      <c r="L3" s="7">
        <f t="shared" si="2"/>
        <v>0</v>
      </c>
      <c r="M3" s="4"/>
      <c r="N3" s="5"/>
      <c r="O3" s="6"/>
    </row>
    <row r="4" ht="14.25">
      <c r="A4" s="7"/>
      <c r="B4" s="7"/>
      <c r="C4" s="7"/>
      <c r="D4" s="7">
        <f t="shared" si="0"/>
        <v>0</v>
      </c>
      <c r="E4" s="8"/>
      <c r="F4" s="7"/>
      <c r="G4" s="7"/>
      <c r="H4" s="7">
        <f t="shared" si="1"/>
        <v>0</v>
      </c>
      <c r="I4" s="8"/>
      <c r="J4" s="7"/>
      <c r="K4" s="7"/>
      <c r="L4" s="7">
        <f t="shared" si="2"/>
        <v>0</v>
      </c>
      <c r="M4" s="4"/>
      <c r="N4" s="5" t="s">
        <v>8</v>
      </c>
      <c r="O4" s="6">
        <v>165</v>
      </c>
    </row>
    <row r="5" ht="14.25">
      <c r="A5" s="7"/>
      <c r="B5" s="7"/>
      <c r="C5" s="7"/>
      <c r="D5" s="7">
        <f t="shared" si="0"/>
        <v>0</v>
      </c>
      <c r="E5" s="8"/>
      <c r="F5" s="7"/>
      <c r="G5" s="7"/>
      <c r="H5" s="7">
        <f t="shared" si="1"/>
        <v>0</v>
      </c>
      <c r="I5" s="8"/>
      <c r="J5" s="7"/>
      <c r="K5" s="7"/>
      <c r="L5" s="7">
        <f t="shared" si="2"/>
        <v>0</v>
      </c>
      <c r="M5" s="4"/>
      <c r="N5" s="9" t="s">
        <v>9</v>
      </c>
      <c r="O5" s="10">
        <f>ROUND(O4*(2/3),0)+1</f>
        <v>111</v>
      </c>
    </row>
    <row r="6" ht="14.25">
      <c r="A6" s="7"/>
      <c r="B6" s="7"/>
      <c r="C6" s="7"/>
      <c r="D6" s="7">
        <f t="shared" si="0"/>
        <v>0</v>
      </c>
      <c r="E6" s="8"/>
      <c r="F6" s="7"/>
      <c r="G6" s="7"/>
      <c r="H6" s="7">
        <f t="shared" si="1"/>
        <v>0</v>
      </c>
      <c r="I6" s="8"/>
      <c r="J6" s="7"/>
      <c r="K6" s="7"/>
      <c r="L6" s="7">
        <f t="shared" si="2"/>
        <v>0</v>
      </c>
      <c r="M6" s="4"/>
      <c r="N6" s="11" t="s">
        <v>10</v>
      </c>
      <c r="O6" s="12">
        <f>ROUND(O4*(1/3),0)+1</f>
        <v>56</v>
      </c>
    </row>
    <row r="7" ht="14.25">
      <c r="A7" s="7"/>
      <c r="B7" s="7"/>
      <c r="C7" s="7"/>
      <c r="D7" s="7">
        <f t="shared" si="0"/>
        <v>0</v>
      </c>
      <c r="E7" s="8"/>
      <c r="F7" s="7"/>
      <c r="G7" s="7"/>
      <c r="H7" s="7">
        <f t="shared" si="1"/>
        <v>0</v>
      </c>
      <c r="I7" s="8"/>
      <c r="J7" s="7"/>
      <c r="K7" s="7"/>
      <c r="L7" s="7">
        <f t="shared" si="2"/>
        <v>0</v>
      </c>
      <c r="M7" s="4"/>
      <c r="N7" s="4"/>
      <c r="O7" s="4"/>
    </row>
    <row r="8" ht="14.25">
      <c r="A8" s="7"/>
      <c r="B8" s="7"/>
      <c r="C8" s="7"/>
      <c r="D8" s="7">
        <f t="shared" si="0"/>
        <v>0</v>
      </c>
      <c r="E8" s="8"/>
      <c r="F8" s="7"/>
      <c r="G8" s="7"/>
      <c r="H8" s="7">
        <f t="shared" si="1"/>
        <v>0</v>
      </c>
      <c r="I8" s="8"/>
      <c r="J8" s="7"/>
      <c r="K8" s="7"/>
      <c r="L8" s="7">
        <f t="shared" si="2"/>
        <v>0</v>
      </c>
      <c r="M8" s="4"/>
      <c r="N8" s="4"/>
      <c r="O8" s="4"/>
    </row>
    <row r="9" ht="14.25">
      <c r="A9" s="7"/>
      <c r="B9" s="7"/>
      <c r="C9" s="7"/>
      <c r="D9" s="7">
        <f t="shared" si="0"/>
        <v>0</v>
      </c>
      <c r="E9" s="8"/>
      <c r="F9" s="7"/>
      <c r="G9" s="7"/>
      <c r="H9" s="7">
        <f t="shared" si="1"/>
        <v>0</v>
      </c>
      <c r="I9" s="8"/>
      <c r="J9" s="7"/>
      <c r="K9" s="7"/>
      <c r="L9" s="7">
        <f t="shared" si="2"/>
        <v>0</v>
      </c>
      <c r="M9" s="4"/>
      <c r="N9" s="4"/>
      <c r="O9" s="4"/>
    </row>
    <row r="10" ht="14.25">
      <c r="A10" s="7"/>
      <c r="B10" s="7"/>
      <c r="C10" s="7"/>
      <c r="D10" s="7">
        <f t="shared" ref="D10:D11" si="3">B10*C10</f>
        <v>0</v>
      </c>
      <c r="E10" s="8"/>
      <c r="F10" s="7"/>
      <c r="G10" s="7"/>
      <c r="H10" s="7">
        <f t="shared" ref="H10:H11" si="4">F10*G10</f>
        <v>0</v>
      </c>
      <c r="I10" s="8"/>
      <c r="J10" s="7"/>
      <c r="K10" s="7"/>
      <c r="L10" s="7">
        <f t="shared" ref="L10:L21" si="5">J10*K10</f>
        <v>0</v>
      </c>
      <c r="M10" s="4"/>
      <c r="N10" s="4"/>
      <c r="O10" s="4"/>
    </row>
    <row r="11" ht="14.25">
      <c r="A11" s="7"/>
      <c r="B11" s="7"/>
      <c r="C11" s="7"/>
      <c r="D11" s="7">
        <f t="shared" si="3"/>
        <v>0</v>
      </c>
      <c r="E11" s="8"/>
      <c r="F11" s="7"/>
      <c r="G11" s="7"/>
      <c r="H11" s="13">
        <f t="shared" si="4"/>
        <v>0</v>
      </c>
      <c r="I11" s="14"/>
      <c r="J11" s="7"/>
      <c r="K11" s="7"/>
      <c r="L11" s="7">
        <f t="shared" si="5"/>
        <v>0</v>
      </c>
      <c r="M11" s="4"/>
      <c r="N11" s="4"/>
      <c r="O11" s="4"/>
    </row>
    <row r="12" ht="14.25">
      <c r="A12" s="1"/>
      <c r="B12" s="1"/>
      <c r="C12" s="1"/>
      <c r="D12" s="1"/>
      <c r="E12" s="1"/>
      <c r="F12" s="1"/>
      <c r="G12" s="1"/>
      <c r="H12" s="1"/>
      <c r="I12" s="7"/>
      <c r="J12" s="7"/>
      <c r="K12" s="7"/>
      <c r="L12" s="7">
        <f t="shared" si="5"/>
        <v>0</v>
      </c>
      <c r="M12" s="4"/>
      <c r="N12" s="4"/>
      <c r="O12" s="4"/>
    </row>
    <row r="13" ht="14.25">
      <c r="A13" s="1"/>
      <c r="B13" s="1"/>
      <c r="C13" s="1"/>
      <c r="D13" s="1"/>
      <c r="E13" s="1"/>
      <c r="F13" s="1"/>
      <c r="G13" s="1"/>
      <c r="H13" s="1"/>
      <c r="I13" s="7"/>
      <c r="J13" s="7"/>
      <c r="K13" s="7"/>
      <c r="L13" s="7">
        <f t="shared" si="5"/>
        <v>0</v>
      </c>
      <c r="M13" s="4"/>
      <c r="N13" s="4"/>
      <c r="O13" s="4"/>
    </row>
    <row r="14" ht="14.25">
      <c r="A14" s="1"/>
      <c r="B14" s="1"/>
      <c r="C14" s="1"/>
      <c r="D14" s="1"/>
      <c r="E14" s="1"/>
      <c r="F14" s="1"/>
      <c r="G14" s="1"/>
      <c r="H14" s="1"/>
      <c r="I14" s="7"/>
      <c r="J14" s="7"/>
      <c r="K14" s="7"/>
      <c r="L14" s="7">
        <f t="shared" si="5"/>
        <v>0</v>
      </c>
      <c r="M14" s="4"/>
      <c r="N14" s="4"/>
      <c r="O14" s="4"/>
    </row>
    <row r="15" ht="14.25">
      <c r="A15" s="1"/>
      <c r="B15" s="1"/>
      <c r="C15" s="1"/>
      <c r="D15" s="1"/>
      <c r="E15" s="1"/>
      <c r="F15" s="1"/>
      <c r="G15" s="1"/>
      <c r="H15" s="1"/>
      <c r="I15" s="7"/>
      <c r="J15" s="7"/>
      <c r="K15" s="7"/>
      <c r="L15" s="7">
        <f t="shared" si="5"/>
        <v>0</v>
      </c>
      <c r="M15" s="4"/>
      <c r="N15" s="4"/>
      <c r="O15" s="4"/>
    </row>
    <row r="16" ht="14.25">
      <c r="A16" s="1"/>
      <c r="B16" s="1"/>
      <c r="C16" s="1"/>
      <c r="D16" s="1"/>
      <c r="E16" s="1"/>
      <c r="F16" s="1"/>
      <c r="G16" s="1"/>
      <c r="H16" s="1"/>
      <c r="I16" s="7"/>
      <c r="J16" s="7"/>
      <c r="K16" s="7"/>
      <c r="L16" s="7">
        <f t="shared" si="5"/>
        <v>0</v>
      </c>
      <c r="M16" s="4"/>
      <c r="N16" s="4"/>
      <c r="O16" s="4"/>
    </row>
    <row r="17" ht="14.25">
      <c r="A17" s="1"/>
      <c r="B17" s="1"/>
      <c r="C17" s="1"/>
      <c r="D17" s="1"/>
      <c r="E17" s="1"/>
      <c r="F17" s="1"/>
      <c r="G17" s="1"/>
      <c r="H17" s="1"/>
      <c r="I17" s="7"/>
      <c r="J17" s="7"/>
      <c r="K17" s="7"/>
      <c r="L17" s="7">
        <f t="shared" si="5"/>
        <v>0</v>
      </c>
      <c r="M17" s="4"/>
      <c r="N17" s="4"/>
      <c r="O17" s="4"/>
    </row>
    <row r="18" ht="14.25">
      <c r="A18" s="1"/>
      <c r="B18" s="1"/>
      <c r="C18" s="1"/>
      <c r="D18" s="1"/>
      <c r="E18" s="1"/>
      <c r="F18" s="1"/>
      <c r="G18" s="1"/>
      <c r="H18" s="1"/>
      <c r="I18" s="7"/>
      <c r="J18" s="7"/>
      <c r="K18" s="7"/>
      <c r="L18" s="7">
        <f t="shared" si="5"/>
        <v>0</v>
      </c>
      <c r="M18" s="4"/>
      <c r="N18" s="4"/>
      <c r="O18" s="4"/>
    </row>
    <row r="19" ht="14.25">
      <c r="A19" s="1"/>
      <c r="B19" s="1"/>
      <c r="C19" s="1"/>
      <c r="D19" s="1"/>
      <c r="E19" s="1"/>
      <c r="F19" s="1"/>
      <c r="G19" s="1"/>
      <c r="H19" s="1"/>
      <c r="I19" s="7"/>
      <c r="J19" s="7"/>
      <c r="K19" s="7"/>
      <c r="L19" s="7">
        <f t="shared" si="5"/>
        <v>0</v>
      </c>
      <c r="M19" s="4"/>
      <c r="N19" s="4"/>
      <c r="O19" s="4"/>
    </row>
    <row r="20" ht="14.25">
      <c r="A20" s="1"/>
      <c r="B20" s="1"/>
      <c r="C20" s="1"/>
      <c r="D20" s="1"/>
      <c r="E20" s="1"/>
      <c r="F20" s="1"/>
      <c r="G20" s="1"/>
      <c r="H20" s="1"/>
      <c r="I20" s="13"/>
      <c r="J20" s="13"/>
      <c r="K20" s="13"/>
      <c r="L20" s="13">
        <f t="shared" si="5"/>
        <v>0</v>
      </c>
      <c r="M20" s="4"/>
      <c r="N20" s="4"/>
      <c r="O20" s="4"/>
    </row>
    <row r="21" ht="14.25">
      <c r="A21" s="1"/>
      <c r="B21" s="1"/>
      <c r="C21" s="1"/>
      <c r="D21" s="1"/>
      <c r="E21" s="1"/>
      <c r="F21" s="1"/>
      <c r="G21" s="1"/>
      <c r="H21" s="1"/>
      <c r="I21" s="13"/>
      <c r="J21" s="13"/>
      <c r="K21" s="13"/>
      <c r="L21" s="7">
        <f t="shared" si="5"/>
        <v>0</v>
      </c>
      <c r="M21" s="4"/>
      <c r="N21" s="4"/>
      <c r="O21" s="4"/>
    </row>
  </sheetData>
  <conditionalFormatting sqref="O3">
    <cfRule type="colorScale" priority="1">
      <colorScale>
        <cfvo type="num" val="$O$6"/>
        <cfvo type="num" val="$O$5"/>
        <cfvo type="num" val="$O$4"/>
        <color rgb="FF92D050"/>
        <color indexed="5"/>
        <color indexed="2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greaterThanOrEqual" id="{00AB0022-00CE-469E-AC57-00CE00B300CF}">
            <xm:f>$O$6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O1</xm:sqref>
        </x14:conditionalFormatting>
        <x14:conditionalFormatting xmlns:xm="http://schemas.microsoft.com/office/excel/2006/main">
          <x14:cfRule type="cellIs" priority="2" operator="greaterThanOrEqual" id="{001E000A-0035-45DC-80F9-00F8003E00EE}">
            <xm:f>$O$5</xm:f>
            <x14:dxf>
              <fill>
                <patternFill patternType="solid">
                  <fgColor rgb="FFFFC000"/>
                  <bgColor rgb="FFFFC000"/>
                </patternFill>
              </fill>
            </x14:dxf>
          </x14:cfRule>
          <xm:sqref>O1</xm:sqref>
        </x14:conditionalFormatting>
        <x14:conditionalFormatting xmlns:xm="http://schemas.microsoft.com/office/excel/2006/main">
          <x14:cfRule type="cellIs" priority="1" operator="greaterThanOrEqual" id="{00BF005F-004E-4A26-8362-009C00B70099}">
            <xm:f>$O$4</xm:f>
            <x14:dxf>
              <font>
                <color theme="0" tint="0"/>
              </font>
              <fill>
                <patternFill patternType="solid">
                  <fgColor rgb="FFC00000"/>
                  <bgColor rgb="FFC00000"/>
                </patternFill>
              </fill>
            </x14:dxf>
          </x14:cfRule>
          <xm:sqref>O1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" width="30.7109375"/>
    <col bestFit="1" customWidth="1" min="2" max="2" style="1" width="7.00390625"/>
    <col bestFit="1" customWidth="1" min="3" max="3" style="1" width="7.57421875"/>
    <col bestFit="1" customWidth="1" min="4" max="4" style="1" width="10.421875"/>
    <col customWidth="1" min="5" max="5" style="1" width="30.7109375"/>
    <col bestFit="1" customWidth="1" min="6" max="6" style="1" width="7.00390625"/>
    <col bestFit="1" customWidth="1" min="7" max="7" style="1" width="7.57421875"/>
    <col bestFit="1" customWidth="1" min="8" max="8" style="1" width="10.421875"/>
    <col customWidth="1" min="9" max="9" style="1" width="30.7109375"/>
    <col bestFit="1" customWidth="1" min="10" max="10" style="1" width="7.00390625"/>
    <col bestFit="1" customWidth="1" min="11" max="11" style="1" width="7.57421875"/>
    <col bestFit="1" customWidth="1" min="12" max="12" style="1" width="10.421875"/>
    <col min="13" max="13" style="1" width="9.140625"/>
    <col bestFit="1" min="14" max="14" style="1" width="11.8515625"/>
    <col min="15" max="16384" style="1" width="9.140625"/>
  </cols>
  <sheetData>
    <row r="1">
      <c r="A1" s="2" t="s">
        <v>11</v>
      </c>
      <c r="B1" s="2" t="s">
        <v>1</v>
      </c>
      <c r="C1" s="2" t="s">
        <v>2</v>
      </c>
      <c r="D1" s="2" t="s">
        <v>3</v>
      </c>
      <c r="E1" s="3" t="s">
        <v>11</v>
      </c>
      <c r="F1" s="2" t="s">
        <v>1</v>
      </c>
      <c r="G1" s="2" t="s">
        <v>2</v>
      </c>
      <c r="H1" s="2" t="s">
        <v>3</v>
      </c>
      <c r="I1" s="3" t="s">
        <v>11</v>
      </c>
      <c r="J1" s="2" t="s">
        <v>1</v>
      </c>
      <c r="K1" s="2" t="s">
        <v>2</v>
      </c>
      <c r="L1" s="2" t="s">
        <v>3</v>
      </c>
      <c r="M1" s="4"/>
      <c r="N1" s="5" t="s">
        <v>6</v>
      </c>
      <c r="O1" s="6">
        <f>SUM(D2:D21,H2:H21,L2:L21)</f>
        <v>0</v>
      </c>
    </row>
    <row r="2" ht="14.25">
      <c r="A2" s="7"/>
      <c r="B2" s="7"/>
      <c r="C2" s="7"/>
      <c r="D2" s="7">
        <f t="shared" ref="D2:D9" si="6">B2*C2</f>
        <v>0</v>
      </c>
      <c r="E2" s="8"/>
      <c r="F2" s="7"/>
      <c r="G2" s="7"/>
      <c r="H2" s="7">
        <f t="shared" ref="H2:H9" si="7">F2*G2</f>
        <v>0</v>
      </c>
      <c r="I2" s="8"/>
      <c r="J2" s="7"/>
      <c r="K2" s="7"/>
      <c r="L2" s="7">
        <f t="shared" ref="L2:L9" si="8">J2*K2</f>
        <v>0</v>
      </c>
      <c r="M2" s="4"/>
      <c r="N2" s="5" t="s">
        <v>7</v>
      </c>
      <c r="O2" s="6">
        <f>SUM(B2:B20,F2:F20,J2:J20)</f>
        <v>0</v>
      </c>
    </row>
    <row r="3" ht="14.25">
      <c r="A3" s="7"/>
      <c r="B3" s="7"/>
      <c r="C3" s="7"/>
      <c r="D3" s="7">
        <f t="shared" si="6"/>
        <v>0</v>
      </c>
      <c r="E3" s="8"/>
      <c r="F3" s="7"/>
      <c r="G3" s="7"/>
      <c r="H3" s="7">
        <f t="shared" si="7"/>
        <v>0</v>
      </c>
      <c r="I3" s="8"/>
      <c r="J3" s="7"/>
      <c r="K3" s="7"/>
      <c r="L3" s="7">
        <f t="shared" si="8"/>
        <v>0</v>
      </c>
      <c r="M3" s="4"/>
      <c r="N3" s="5"/>
      <c r="O3" s="6"/>
    </row>
    <row r="4" ht="14.25">
      <c r="A4" s="7"/>
      <c r="B4" s="7"/>
      <c r="C4" s="7"/>
      <c r="D4" s="7">
        <f t="shared" si="6"/>
        <v>0</v>
      </c>
      <c r="E4" s="8"/>
      <c r="F4" s="7"/>
      <c r="G4" s="7"/>
      <c r="H4" s="7">
        <f t="shared" si="7"/>
        <v>0</v>
      </c>
      <c r="I4" s="8"/>
      <c r="J4" s="7"/>
      <c r="K4" s="7"/>
      <c r="L4" s="7">
        <f t="shared" si="8"/>
        <v>0</v>
      </c>
      <c r="M4" s="4"/>
      <c r="N4" s="5" t="s">
        <v>12</v>
      </c>
      <c r="O4" s="6">
        <v>5</v>
      </c>
    </row>
    <row r="5" ht="14.25">
      <c r="A5" s="7"/>
      <c r="B5" s="7"/>
      <c r="C5" s="7"/>
      <c r="D5" s="7">
        <f t="shared" si="6"/>
        <v>0</v>
      </c>
      <c r="E5" s="8"/>
      <c r="F5" s="7"/>
      <c r="G5" s="7"/>
      <c r="H5" s="7">
        <f t="shared" si="7"/>
        <v>0</v>
      </c>
      <c r="I5" s="8"/>
      <c r="J5" s="7"/>
      <c r="K5" s="7"/>
      <c r="L5" s="7">
        <f t="shared" si="8"/>
        <v>0</v>
      </c>
      <c r="M5" s="4"/>
      <c r="N5" s="5" t="s">
        <v>8</v>
      </c>
      <c r="O5" s="6">
        <v>30</v>
      </c>
    </row>
    <row r="6" ht="14.25">
      <c r="A6" s="7"/>
      <c r="B6" s="7"/>
      <c r="C6" s="7"/>
      <c r="D6" s="7">
        <f t="shared" si="6"/>
        <v>0</v>
      </c>
      <c r="E6" s="8"/>
      <c r="F6" s="7"/>
      <c r="G6" s="7"/>
      <c r="H6" s="7">
        <f t="shared" si="7"/>
        <v>0</v>
      </c>
      <c r="I6" s="8"/>
      <c r="J6" s="7"/>
      <c r="K6" s="7"/>
      <c r="L6" s="7">
        <f t="shared" si="8"/>
        <v>0</v>
      </c>
      <c r="M6" s="4"/>
      <c r="N6" s="15">
        <v>0.94999999999999996</v>
      </c>
      <c r="O6" s="10">
        <f>O5*0.95</f>
        <v>28.5</v>
      </c>
    </row>
    <row r="7" ht="14.25">
      <c r="A7" s="7"/>
      <c r="B7" s="7"/>
      <c r="C7" s="7"/>
      <c r="D7" s="7">
        <f t="shared" si="6"/>
        <v>0</v>
      </c>
      <c r="E7" s="8"/>
      <c r="F7" s="7"/>
      <c r="G7" s="7"/>
      <c r="H7" s="7">
        <f t="shared" si="7"/>
        <v>0</v>
      </c>
      <c r="I7" s="8"/>
      <c r="J7" s="7"/>
      <c r="K7" s="7"/>
      <c r="L7" s="7">
        <f t="shared" si="8"/>
        <v>0</v>
      </c>
      <c r="M7" s="4"/>
      <c r="N7" s="16">
        <v>0.90000000000000002</v>
      </c>
      <c r="O7" s="12">
        <f>O5*0.9</f>
        <v>27</v>
      </c>
    </row>
    <row r="8" ht="14.25">
      <c r="A8" s="7"/>
      <c r="B8" s="7"/>
      <c r="C8" s="7"/>
      <c r="D8" s="7">
        <f t="shared" si="6"/>
        <v>0</v>
      </c>
      <c r="E8" s="8"/>
      <c r="F8" s="7"/>
      <c r="G8" s="7"/>
      <c r="H8" s="7">
        <f t="shared" si="7"/>
        <v>0</v>
      </c>
      <c r="I8" s="8"/>
      <c r="J8" s="7"/>
      <c r="K8" s="7"/>
      <c r="L8" s="7">
        <f t="shared" si="8"/>
        <v>0</v>
      </c>
      <c r="M8" s="4"/>
      <c r="N8" s="4"/>
      <c r="O8" s="4"/>
    </row>
    <row r="9" ht="14.25">
      <c r="A9" s="7"/>
      <c r="B9" s="7"/>
      <c r="C9" s="7"/>
      <c r="D9" s="7">
        <f t="shared" si="6"/>
        <v>0</v>
      </c>
      <c r="E9" s="8"/>
      <c r="F9" s="7"/>
      <c r="G9" s="7"/>
      <c r="H9" s="7">
        <f t="shared" si="7"/>
        <v>0</v>
      </c>
      <c r="I9" s="8"/>
      <c r="J9" s="7"/>
      <c r="K9" s="7"/>
      <c r="L9" s="7">
        <f t="shared" si="8"/>
        <v>0</v>
      </c>
      <c r="M9" s="4"/>
      <c r="N9" s="4"/>
      <c r="O9" s="4"/>
    </row>
    <row r="10" ht="14.25">
      <c r="A10" s="7"/>
      <c r="B10" s="7"/>
      <c r="C10" s="7"/>
      <c r="D10" s="7">
        <f t="shared" ref="D10:D20" si="9">B10*C10</f>
        <v>0</v>
      </c>
      <c r="E10" s="8"/>
      <c r="F10" s="7"/>
      <c r="G10" s="7"/>
      <c r="H10" s="7">
        <f t="shared" ref="H10:H20" si="10">F10*G10</f>
        <v>0</v>
      </c>
      <c r="I10" s="8"/>
      <c r="J10" s="7"/>
      <c r="K10" s="7"/>
      <c r="L10" s="7">
        <f t="shared" ref="L10:L20" si="11">J10*K10</f>
        <v>0</v>
      </c>
      <c r="M10" s="4"/>
      <c r="N10" s="4"/>
      <c r="O10" s="4"/>
    </row>
    <row r="11" ht="14.25">
      <c r="A11" s="7"/>
      <c r="B11" s="7"/>
      <c r="C11" s="7"/>
      <c r="D11" s="7">
        <f t="shared" si="9"/>
        <v>0</v>
      </c>
      <c r="E11" s="8"/>
      <c r="F11" s="7"/>
      <c r="G11" s="7"/>
      <c r="H11" s="7">
        <f t="shared" si="10"/>
        <v>0</v>
      </c>
      <c r="I11" s="8"/>
      <c r="J11" s="7"/>
      <c r="K11" s="7"/>
      <c r="L11" s="7">
        <f t="shared" si="11"/>
        <v>0</v>
      </c>
      <c r="M11" s="4"/>
      <c r="N11" s="4"/>
      <c r="O11" s="4"/>
    </row>
    <row r="12" ht="14.25">
      <c r="A12" s="7"/>
      <c r="B12" s="7"/>
      <c r="C12" s="7"/>
      <c r="D12" s="7">
        <f t="shared" si="9"/>
        <v>0</v>
      </c>
      <c r="E12" s="8"/>
      <c r="F12" s="7"/>
      <c r="G12" s="7"/>
      <c r="H12" s="7">
        <f t="shared" si="10"/>
        <v>0</v>
      </c>
      <c r="I12" s="8"/>
      <c r="J12" s="7"/>
      <c r="K12" s="7"/>
      <c r="L12" s="7">
        <f t="shared" si="11"/>
        <v>0</v>
      </c>
      <c r="M12" s="4"/>
      <c r="N12" s="4"/>
      <c r="O12" s="4"/>
    </row>
    <row r="13" ht="14.25">
      <c r="A13" s="7"/>
      <c r="B13" s="7"/>
      <c r="C13" s="7"/>
      <c r="D13" s="7">
        <f t="shared" si="9"/>
        <v>0</v>
      </c>
      <c r="E13" s="8"/>
      <c r="F13" s="7"/>
      <c r="G13" s="7"/>
      <c r="H13" s="7">
        <f t="shared" si="10"/>
        <v>0</v>
      </c>
      <c r="I13" s="8"/>
      <c r="J13" s="7"/>
      <c r="K13" s="7"/>
      <c r="L13" s="7">
        <f t="shared" si="11"/>
        <v>0</v>
      </c>
      <c r="M13" s="4"/>
      <c r="N13" s="4"/>
      <c r="O13" s="4"/>
    </row>
    <row r="14" ht="14.25">
      <c r="A14" s="7"/>
      <c r="B14" s="7"/>
      <c r="C14" s="7"/>
      <c r="D14" s="7">
        <f t="shared" si="9"/>
        <v>0</v>
      </c>
      <c r="E14" s="8"/>
      <c r="F14" s="7"/>
      <c r="G14" s="7"/>
      <c r="H14" s="7">
        <f t="shared" si="10"/>
        <v>0</v>
      </c>
      <c r="I14" s="8"/>
      <c r="J14" s="7"/>
      <c r="K14" s="7"/>
      <c r="L14" s="7">
        <f t="shared" si="11"/>
        <v>0</v>
      </c>
      <c r="M14" s="4"/>
      <c r="N14" s="4"/>
      <c r="O14" s="4"/>
    </row>
    <row r="15" ht="14.25">
      <c r="A15" s="7"/>
      <c r="B15" s="7"/>
      <c r="C15" s="7"/>
      <c r="D15" s="7">
        <f t="shared" si="9"/>
        <v>0</v>
      </c>
      <c r="E15" s="8"/>
      <c r="F15" s="7"/>
      <c r="G15" s="7"/>
      <c r="H15" s="7">
        <f t="shared" si="10"/>
        <v>0</v>
      </c>
      <c r="I15" s="8"/>
      <c r="J15" s="7"/>
      <c r="K15" s="7"/>
      <c r="L15" s="7">
        <f t="shared" si="11"/>
        <v>0</v>
      </c>
      <c r="M15" s="4"/>
      <c r="N15" s="4"/>
      <c r="O15" s="4"/>
    </row>
    <row r="16" ht="14.25">
      <c r="A16" s="7"/>
      <c r="B16" s="7"/>
      <c r="C16" s="7"/>
      <c r="D16" s="7">
        <f t="shared" si="9"/>
        <v>0</v>
      </c>
      <c r="E16" s="8"/>
      <c r="F16" s="7"/>
      <c r="G16" s="7"/>
      <c r="H16" s="7">
        <f t="shared" si="10"/>
        <v>0</v>
      </c>
      <c r="I16" s="8"/>
      <c r="J16" s="7"/>
      <c r="K16" s="7"/>
      <c r="L16" s="7">
        <f t="shared" si="11"/>
        <v>0</v>
      </c>
      <c r="M16" s="4"/>
      <c r="N16" s="4"/>
      <c r="O16" s="4"/>
    </row>
    <row r="17" ht="14.25">
      <c r="A17" s="7"/>
      <c r="B17" s="7"/>
      <c r="C17" s="7"/>
      <c r="D17" s="7">
        <f t="shared" si="9"/>
        <v>0</v>
      </c>
      <c r="E17" s="8"/>
      <c r="F17" s="7"/>
      <c r="G17" s="7"/>
      <c r="H17" s="7">
        <f t="shared" si="10"/>
        <v>0</v>
      </c>
      <c r="I17" s="8"/>
      <c r="J17" s="7"/>
      <c r="K17" s="7"/>
      <c r="L17" s="7">
        <f t="shared" si="11"/>
        <v>0</v>
      </c>
      <c r="M17" s="4"/>
      <c r="N17" s="4"/>
      <c r="O17" s="4"/>
    </row>
    <row r="18" ht="14.25">
      <c r="A18" s="7"/>
      <c r="B18" s="7"/>
      <c r="C18" s="7"/>
      <c r="D18" s="7">
        <f t="shared" si="9"/>
        <v>0</v>
      </c>
      <c r="E18" s="8"/>
      <c r="F18" s="7"/>
      <c r="G18" s="7"/>
      <c r="H18" s="7">
        <f t="shared" si="10"/>
        <v>0</v>
      </c>
      <c r="I18" s="8"/>
      <c r="J18" s="7"/>
      <c r="K18" s="7"/>
      <c r="L18" s="7">
        <f t="shared" si="11"/>
        <v>0</v>
      </c>
      <c r="M18" s="4"/>
      <c r="N18" s="4"/>
      <c r="O18" s="4"/>
    </row>
    <row r="19" ht="14.25">
      <c r="A19" s="7"/>
      <c r="B19" s="7"/>
      <c r="C19" s="7"/>
      <c r="D19" s="7">
        <f t="shared" si="9"/>
        <v>0</v>
      </c>
      <c r="E19" s="8"/>
      <c r="F19" s="7"/>
      <c r="G19" s="7"/>
      <c r="H19" s="7">
        <f t="shared" si="10"/>
        <v>0</v>
      </c>
      <c r="I19" s="8"/>
      <c r="J19" s="7"/>
      <c r="K19" s="7"/>
      <c r="L19" s="7">
        <f t="shared" si="11"/>
        <v>0</v>
      </c>
      <c r="M19" s="4"/>
      <c r="N19" s="4"/>
      <c r="O19" s="4"/>
    </row>
    <row r="20" ht="14.25">
      <c r="A20" s="13"/>
      <c r="B20" s="13"/>
      <c r="C20" s="13"/>
      <c r="D20" s="13">
        <f t="shared" si="9"/>
        <v>0</v>
      </c>
      <c r="E20" s="14"/>
      <c r="F20" s="13"/>
      <c r="G20" s="13"/>
      <c r="H20" s="13">
        <f t="shared" si="10"/>
        <v>0</v>
      </c>
      <c r="I20" s="14"/>
      <c r="J20" s="13"/>
      <c r="K20" s="13"/>
      <c r="L20" s="13">
        <f t="shared" si="11"/>
        <v>0</v>
      </c>
      <c r="M20" s="4"/>
      <c r="N20" s="4"/>
      <c r="O20" s="4"/>
    </row>
    <row r="21" ht="14.25">
      <c r="A21" s="13"/>
      <c r="B21" s="13"/>
      <c r="C21" s="13"/>
      <c r="D21" s="13">
        <v>0</v>
      </c>
      <c r="E21" s="14"/>
      <c r="F21" s="13"/>
      <c r="G21" s="13"/>
      <c r="H21" s="13">
        <v>0</v>
      </c>
      <c r="I21" s="14"/>
      <c r="J21" s="13"/>
      <c r="K21" s="13"/>
      <c r="L21" s="13">
        <v>0</v>
      </c>
      <c r="M21" s="4"/>
      <c r="N21" s="4"/>
      <c r="O21" s="4"/>
    </row>
  </sheetData>
  <conditionalFormatting sqref="O1">
    <cfRule type="colorScale" priority="1">
      <colorScale>
        <cfvo type="num" val="$O$6"/>
        <cfvo type="num" val="$O$5"/>
        <cfvo type="num" val="$O$4"/>
        <color rgb="FF92D050"/>
        <color indexed="5"/>
        <color indexed="2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7" width="30.7109375"/>
    <col bestFit="1" customWidth="1" min="2" max="2" style="1" width="6.68359375"/>
    <col bestFit="1" customWidth="1" min="3" max="3" style="1" width="7.33203125"/>
    <col bestFit="1" customWidth="1" min="4" max="4" style="1" width="10.19140625"/>
    <col customWidth="1" min="5" max="5" style="17" width="30.7109375"/>
    <col bestFit="1" customWidth="1" min="6" max="6" style="1" width="6.68359375"/>
    <col bestFit="1" customWidth="1" min="7" max="7" style="1" width="7.33203125"/>
    <col bestFit="1" customWidth="1" min="8" max="8" style="1" width="10.19140625"/>
    <col min="9" max="9" style="1" width="9.140625"/>
    <col bestFit="1" customWidth="1" min="10" max="10" style="1" width="11.8515625"/>
    <col customWidth="1" min="11" max="11" style="1" width="9.57421875"/>
    <col min="12" max="16384" style="1" width="9.140625"/>
  </cols>
  <sheetData>
    <row r="1" ht="14.25">
      <c r="A1" s="18" t="s">
        <v>11</v>
      </c>
      <c r="B1" s="2" t="s">
        <v>1</v>
      </c>
      <c r="C1" s="2" t="s">
        <v>2</v>
      </c>
      <c r="D1" s="2" t="s">
        <v>3</v>
      </c>
      <c r="E1" s="19" t="s">
        <v>11</v>
      </c>
      <c r="F1" s="2" t="s">
        <v>1</v>
      </c>
      <c r="G1" s="2" t="s">
        <v>2</v>
      </c>
      <c r="H1" s="2" t="s">
        <v>3</v>
      </c>
      <c r="I1" s="4"/>
      <c r="J1" s="5" t="s">
        <v>6</v>
      </c>
      <c r="K1" s="6">
        <f>SUM(D2:D13,H2:H13)</f>
        <v>0</v>
      </c>
      <c r="L1" s="1"/>
    </row>
    <row r="2" ht="14.25">
      <c r="A2" s="20"/>
      <c r="B2" s="7"/>
      <c r="C2" s="7"/>
      <c r="D2" s="7">
        <f t="shared" ref="D2:D9" si="12">B2*C2</f>
        <v>0</v>
      </c>
      <c r="E2" s="21"/>
      <c r="F2" s="7"/>
      <c r="G2" s="7"/>
      <c r="H2" s="7">
        <f t="shared" ref="H2:H9" si="13">F2*G2</f>
        <v>0</v>
      </c>
      <c r="I2" s="4"/>
      <c r="J2" s="5" t="s">
        <v>7</v>
      </c>
      <c r="K2" s="6">
        <f>SUM(B2:B20,F2:F20)</f>
        <v>0</v>
      </c>
      <c r="L2" s="1"/>
    </row>
    <row r="3" ht="14.25">
      <c r="A3" s="20"/>
      <c r="B3" s="7"/>
      <c r="C3" s="7"/>
      <c r="D3" s="7">
        <f t="shared" si="12"/>
        <v>0</v>
      </c>
      <c r="E3" s="21"/>
      <c r="F3" s="7"/>
      <c r="G3" s="7"/>
      <c r="H3" s="7">
        <f t="shared" si="13"/>
        <v>0</v>
      </c>
      <c r="I3" s="4"/>
      <c r="J3" s="5"/>
      <c r="K3" s="6"/>
      <c r="L3" s="1"/>
    </row>
    <row r="4" ht="28.5">
      <c r="A4" s="20"/>
      <c r="B4" s="7"/>
      <c r="C4" s="7"/>
      <c r="D4" s="7">
        <f t="shared" si="12"/>
        <v>0</v>
      </c>
      <c r="E4" s="21"/>
      <c r="F4" s="7"/>
      <c r="G4" s="7"/>
      <c r="H4" s="7">
        <f t="shared" si="13"/>
        <v>0</v>
      </c>
      <c r="I4" s="4"/>
      <c r="J4" s="5" t="s">
        <v>12</v>
      </c>
      <c r="K4" s="6">
        <v>1</v>
      </c>
      <c r="L4" s="1"/>
    </row>
    <row r="5" ht="14.25">
      <c r="A5" s="20"/>
      <c r="B5" s="7"/>
      <c r="C5" s="7"/>
      <c r="D5" s="7">
        <f t="shared" si="12"/>
        <v>0</v>
      </c>
      <c r="E5" s="21"/>
      <c r="F5" s="7"/>
      <c r="G5" s="7"/>
      <c r="H5" s="7">
        <f t="shared" si="13"/>
        <v>0</v>
      </c>
      <c r="I5" s="4"/>
      <c r="J5" s="5" t="s">
        <v>8</v>
      </c>
      <c r="K5" s="6">
        <v>6</v>
      </c>
      <c r="L5" s="1"/>
    </row>
    <row r="6" ht="14.25">
      <c r="A6" s="20"/>
      <c r="B6" s="7"/>
      <c r="C6" s="7"/>
      <c r="D6" s="7">
        <f t="shared" si="12"/>
        <v>0</v>
      </c>
      <c r="E6" s="21"/>
      <c r="F6" s="7"/>
      <c r="G6" s="7"/>
      <c r="H6" s="7">
        <f t="shared" si="13"/>
        <v>0</v>
      </c>
      <c r="I6" s="4"/>
      <c r="J6" s="15">
        <v>0.94999999999999996</v>
      </c>
      <c r="K6" s="10">
        <f>K5*0.95</f>
        <v>5.6999999999999993</v>
      </c>
      <c r="L6" s="1"/>
    </row>
    <row r="7" ht="14.25">
      <c r="A7" s="20"/>
      <c r="B7" s="7"/>
      <c r="C7" s="7"/>
      <c r="D7" s="7">
        <f t="shared" si="12"/>
        <v>0</v>
      </c>
      <c r="E7" s="21"/>
      <c r="F7" s="7"/>
      <c r="G7" s="7"/>
      <c r="H7" s="7">
        <f t="shared" si="13"/>
        <v>0</v>
      </c>
      <c r="I7" s="4"/>
      <c r="J7" s="16">
        <v>0.90000000000000002</v>
      </c>
      <c r="K7" s="12">
        <f>K5*0.9</f>
        <v>5.4000000000000004</v>
      </c>
      <c r="L7" s="1"/>
    </row>
    <row r="8" ht="14.25">
      <c r="A8" s="20"/>
      <c r="B8" s="7"/>
      <c r="C8" s="7"/>
      <c r="D8" s="7">
        <f t="shared" si="12"/>
        <v>0</v>
      </c>
      <c r="E8" s="21"/>
      <c r="F8" s="7"/>
      <c r="G8" s="7"/>
      <c r="H8" s="7">
        <f t="shared" si="13"/>
        <v>0</v>
      </c>
      <c r="I8" s="4"/>
      <c r="J8" s="4"/>
      <c r="K8" s="4"/>
      <c r="L8" s="1"/>
    </row>
    <row r="9" ht="14.25">
      <c r="A9" s="20"/>
      <c r="B9" s="7"/>
      <c r="C9" s="7"/>
      <c r="D9" s="7">
        <f t="shared" si="12"/>
        <v>0</v>
      </c>
      <c r="E9" s="21"/>
      <c r="F9" s="7"/>
      <c r="G9" s="7"/>
      <c r="H9" s="7">
        <f t="shared" si="13"/>
        <v>0</v>
      </c>
      <c r="I9" s="4"/>
      <c r="J9" s="4"/>
      <c r="K9" s="4"/>
      <c r="L9" s="1"/>
    </row>
    <row r="10" ht="14.25">
      <c r="A10" s="20"/>
      <c r="B10" s="7"/>
      <c r="C10" s="7"/>
      <c r="D10" s="7">
        <f t="shared" ref="D10:D13" si="14">B10*C10</f>
        <v>0</v>
      </c>
      <c r="E10" s="21"/>
      <c r="F10" s="7"/>
      <c r="G10" s="7"/>
      <c r="H10" s="7">
        <f t="shared" ref="H10:H13" si="15">F10*G10</f>
        <v>0</v>
      </c>
      <c r="I10" s="4"/>
      <c r="J10" s="4"/>
      <c r="K10" s="4"/>
      <c r="L10" s="1"/>
    </row>
    <row r="11" ht="14.25">
      <c r="A11" s="20"/>
      <c r="B11" s="7"/>
      <c r="C11" s="7"/>
      <c r="D11" s="7">
        <f t="shared" si="14"/>
        <v>0</v>
      </c>
      <c r="E11" s="21"/>
      <c r="F11" s="7"/>
      <c r="G11" s="7"/>
      <c r="H11" s="7">
        <f t="shared" si="15"/>
        <v>0</v>
      </c>
      <c r="I11" s="4"/>
      <c r="J11" s="4"/>
      <c r="K11" s="4"/>
      <c r="L11" s="1"/>
    </row>
    <row r="12" ht="14.25">
      <c r="A12" s="20"/>
      <c r="B12" s="7"/>
      <c r="C12" s="7"/>
      <c r="D12" s="7">
        <f t="shared" si="14"/>
        <v>0</v>
      </c>
      <c r="E12" s="21"/>
      <c r="F12" s="7"/>
      <c r="G12" s="7"/>
      <c r="H12" s="7">
        <f t="shared" si="15"/>
        <v>0</v>
      </c>
      <c r="I12" s="4"/>
      <c r="J12" s="4"/>
      <c r="K12" s="4"/>
      <c r="L12" s="1"/>
    </row>
    <row r="13" ht="14.25">
      <c r="A13" s="22"/>
      <c r="B13" s="13"/>
      <c r="C13" s="13"/>
      <c r="D13" s="13">
        <f t="shared" si="14"/>
        <v>0</v>
      </c>
      <c r="E13" s="23"/>
      <c r="F13" s="13"/>
      <c r="G13" s="13"/>
      <c r="H13" s="13">
        <f t="shared" si="15"/>
        <v>0</v>
      </c>
      <c r="I13" s="4"/>
      <c r="J13" s="4"/>
      <c r="K13" s="4"/>
      <c r="L13" s="1"/>
    </row>
    <row r="14" ht="14.25">
      <c r="A14" s="17"/>
      <c r="B14" s="1"/>
      <c r="C14" s="1"/>
      <c r="D14" s="1"/>
      <c r="E14" s="17"/>
      <c r="F14" s="1"/>
      <c r="G14" s="1"/>
      <c r="H14" s="1"/>
      <c r="I14" s="1"/>
      <c r="J14" s="1"/>
      <c r="K14" s="1"/>
      <c r="L14" s="1"/>
    </row>
    <row r="15" ht="14.25">
      <c r="A15" s="17"/>
      <c r="B15" s="1"/>
      <c r="C15" s="1"/>
      <c r="D15" s="1"/>
      <c r="E15" s="17"/>
      <c r="F15" s="1"/>
      <c r="G15" s="1"/>
      <c r="H15" s="1"/>
      <c r="I15" s="1"/>
      <c r="J15" s="1"/>
      <c r="K15" s="1"/>
      <c r="L15" s="1"/>
    </row>
    <row r="16" ht="14.25">
      <c r="A16" s="17"/>
      <c r="B16" s="1"/>
      <c r="C16" s="1"/>
      <c r="D16" s="1"/>
      <c r="E16" s="17"/>
      <c r="F16" s="1"/>
      <c r="G16" s="1"/>
      <c r="H16" s="1"/>
      <c r="I16" s="1"/>
      <c r="J16" s="1"/>
      <c r="K16" s="1"/>
      <c r="L16" s="1"/>
    </row>
    <row r="17" ht="14.25">
      <c r="A17" s="17"/>
      <c r="B17" s="1"/>
      <c r="C17" s="1"/>
      <c r="D17" s="1"/>
      <c r="E17" s="17"/>
      <c r="F17" s="1"/>
      <c r="G17" s="1"/>
      <c r="H17" s="1"/>
      <c r="I17" s="1"/>
      <c r="J17" s="1"/>
      <c r="K17" s="1"/>
      <c r="L17" s="1"/>
    </row>
    <row r="18" ht="14.25">
      <c r="A18" s="17"/>
      <c r="B18" s="1"/>
      <c r="C18" s="1"/>
      <c r="D18" s="1"/>
      <c r="E18" s="17"/>
      <c r="F18" s="1"/>
      <c r="G18" s="1"/>
      <c r="H18" s="1"/>
      <c r="I18" s="1"/>
      <c r="J18" s="1"/>
      <c r="K18" s="1"/>
      <c r="L18" s="1"/>
    </row>
    <row r="19" ht="14.25">
      <c r="A19" s="17"/>
      <c r="B19" s="1"/>
      <c r="C19" s="1"/>
      <c r="D19" s="1"/>
      <c r="E19" s="17"/>
      <c r="F19" s="1"/>
      <c r="G19" s="1"/>
      <c r="H19" s="1"/>
      <c r="I19" s="1"/>
      <c r="J19" s="1"/>
      <c r="K19" s="1"/>
      <c r="L19" s="1"/>
    </row>
    <row r="20" ht="14.25">
      <c r="A20" s="17"/>
      <c r="B20" s="1"/>
      <c r="C20" s="1"/>
      <c r="D20" s="1"/>
      <c r="E20" s="17"/>
      <c r="F20" s="1"/>
      <c r="G20" s="1"/>
      <c r="H20" s="1"/>
      <c r="I20" s="1"/>
      <c r="J20" s="1"/>
      <c r="K20" s="1"/>
      <c r="L20" s="1"/>
    </row>
  </sheetData>
  <conditionalFormatting sqref="K1">
    <cfRule type="colorScale" priority="1">
      <colorScale>
        <cfvo type="num" val="$K$6"/>
        <cfvo type="num" val="$K$5"/>
        <cfvo type="num" val="$K$4"/>
        <color rgb="FF92D050"/>
        <color indexed="5"/>
        <color indexed="2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" width="30.7109375"/>
    <col bestFit="1" customWidth="1" min="2" max="2" style="1" width="7.00390625"/>
    <col bestFit="1" customWidth="1" min="3" max="3" style="1" width="7.57421875"/>
    <col bestFit="1" customWidth="1" min="4" max="4" style="1" width="10.421875"/>
    <col customWidth="1" min="5" max="5" style="1" width="30.7109375"/>
    <col bestFit="1" customWidth="1" min="6" max="6" style="1" width="7.00390625"/>
    <col bestFit="1" customWidth="1" min="7" max="7" style="1" width="7.57421875"/>
    <col bestFit="1" customWidth="1" min="8" max="8" style="1" width="10.421875"/>
    <col customWidth="1" min="9" max="9" style="1" width="30.7109375"/>
    <col bestFit="1" customWidth="1" min="10" max="10" style="1" width="7.00390625"/>
    <col bestFit="1" customWidth="1" min="11" max="11" style="1" width="7.57421875"/>
    <col bestFit="1" customWidth="1" min="12" max="12" style="1" width="10.421875"/>
    <col min="13" max="13" style="1" width="9.140625"/>
    <col bestFit="1" min="14" max="14" style="1" width="11.8515625"/>
    <col min="15" max="16384" style="1" width="9.140625"/>
  </cols>
  <sheetData>
    <row r="1">
      <c r="A1" s="2" t="s">
        <v>11</v>
      </c>
      <c r="B1" s="2" t="s">
        <v>1</v>
      </c>
      <c r="C1" s="2" t="s">
        <v>2</v>
      </c>
      <c r="D1" s="2" t="s">
        <v>3</v>
      </c>
      <c r="E1" s="3" t="s">
        <v>11</v>
      </c>
      <c r="F1" s="2" t="s">
        <v>1</v>
      </c>
      <c r="G1" s="2" t="s">
        <v>2</v>
      </c>
      <c r="H1" s="2" t="s">
        <v>3</v>
      </c>
      <c r="I1" s="3" t="s">
        <v>11</v>
      </c>
      <c r="J1" s="2" t="s">
        <v>1</v>
      </c>
      <c r="K1" s="2" t="s">
        <v>2</v>
      </c>
      <c r="L1" s="2" t="s">
        <v>3</v>
      </c>
      <c r="M1" s="4"/>
      <c r="N1" s="5" t="s">
        <v>6</v>
      </c>
      <c r="O1" s="6">
        <f>SUM(D2:D40,H2:H40,L2:L40)</f>
        <v>0</v>
      </c>
    </row>
    <row r="2" ht="14.25">
      <c r="A2" s="7"/>
      <c r="B2" s="7"/>
      <c r="C2" s="7"/>
      <c r="D2" s="7">
        <f t="shared" ref="D2:D9" si="16">B2*C2</f>
        <v>0</v>
      </c>
      <c r="E2" s="8"/>
      <c r="F2" s="7"/>
      <c r="G2" s="7"/>
      <c r="H2" s="7">
        <f t="shared" ref="H2:H9" si="17">F2*G2</f>
        <v>0</v>
      </c>
      <c r="I2" s="8"/>
      <c r="J2" s="7"/>
      <c r="K2" s="7"/>
      <c r="L2" s="7">
        <f t="shared" ref="L2:L9" si="18">J2*K2</f>
        <v>0</v>
      </c>
      <c r="M2" s="4"/>
      <c r="N2" s="5" t="s">
        <v>7</v>
      </c>
      <c r="O2" s="6">
        <f>SUM(B2:B20,F2:F20,J2:J20)</f>
        <v>0</v>
      </c>
    </row>
    <row r="3" ht="14.25">
      <c r="A3" s="7"/>
      <c r="B3" s="7"/>
      <c r="C3" s="7"/>
      <c r="D3" s="7">
        <f t="shared" si="16"/>
        <v>0</v>
      </c>
      <c r="E3" s="8"/>
      <c r="F3" s="7"/>
      <c r="G3" s="7"/>
      <c r="H3" s="7">
        <f t="shared" si="17"/>
        <v>0</v>
      </c>
      <c r="I3" s="8"/>
      <c r="J3" s="7"/>
      <c r="K3" s="7"/>
      <c r="L3" s="7">
        <f t="shared" si="18"/>
        <v>0</v>
      </c>
      <c r="M3" s="4"/>
      <c r="N3" s="5"/>
      <c r="O3" s="6"/>
    </row>
    <row r="4" ht="14.25">
      <c r="A4" s="7"/>
      <c r="B4" s="7"/>
      <c r="C4" s="7"/>
      <c r="D4" s="7">
        <f t="shared" si="16"/>
        <v>0</v>
      </c>
      <c r="E4" s="8"/>
      <c r="F4" s="7"/>
      <c r="G4" s="7"/>
      <c r="H4" s="7">
        <f t="shared" si="17"/>
        <v>0</v>
      </c>
      <c r="I4" s="8"/>
      <c r="J4" s="7"/>
      <c r="K4" s="7"/>
      <c r="L4" s="7">
        <f t="shared" si="18"/>
        <v>0</v>
      </c>
      <c r="M4" s="4"/>
      <c r="N4" s="5" t="s">
        <v>12</v>
      </c>
      <c r="O4" s="6">
        <v>25</v>
      </c>
    </row>
    <row r="5" ht="14.25">
      <c r="A5" s="7"/>
      <c r="B5" s="7"/>
      <c r="C5" s="7"/>
      <c r="D5" s="7">
        <f t="shared" si="16"/>
        <v>0</v>
      </c>
      <c r="E5" s="8"/>
      <c r="F5" s="7"/>
      <c r="G5" s="7"/>
      <c r="H5" s="7">
        <f t="shared" si="17"/>
        <v>0</v>
      </c>
      <c r="I5" s="8"/>
      <c r="J5" s="7"/>
      <c r="K5" s="7"/>
      <c r="L5" s="7">
        <f t="shared" si="18"/>
        <v>0</v>
      </c>
      <c r="M5" s="4"/>
      <c r="N5" s="5" t="s">
        <v>8</v>
      </c>
      <c r="O5" s="6">
        <v>300</v>
      </c>
    </row>
    <row r="6" ht="14.25">
      <c r="A6" s="7"/>
      <c r="B6" s="7"/>
      <c r="C6" s="7"/>
      <c r="D6" s="7">
        <f t="shared" si="16"/>
        <v>0</v>
      </c>
      <c r="E6" s="8"/>
      <c r="F6" s="7"/>
      <c r="G6" s="7"/>
      <c r="H6" s="7">
        <f t="shared" si="17"/>
        <v>0</v>
      </c>
      <c r="I6" s="8"/>
      <c r="J6" s="7"/>
      <c r="K6" s="7"/>
      <c r="L6" s="7">
        <f t="shared" si="18"/>
        <v>0</v>
      </c>
      <c r="M6" s="4"/>
      <c r="N6" s="15">
        <v>0.94999999999999996</v>
      </c>
      <c r="O6" s="10">
        <f>O5*0.95</f>
        <v>285</v>
      </c>
    </row>
    <row r="7" ht="14.25">
      <c r="A7" s="7"/>
      <c r="B7" s="7"/>
      <c r="C7" s="7"/>
      <c r="D7" s="7">
        <f t="shared" si="16"/>
        <v>0</v>
      </c>
      <c r="E7" s="8"/>
      <c r="F7" s="7"/>
      <c r="G7" s="7"/>
      <c r="H7" s="7">
        <f t="shared" si="17"/>
        <v>0</v>
      </c>
      <c r="I7" s="8"/>
      <c r="J7" s="7"/>
      <c r="K7" s="7"/>
      <c r="L7" s="7">
        <f t="shared" si="18"/>
        <v>0</v>
      </c>
      <c r="M7" s="4"/>
      <c r="N7" s="16">
        <v>0.90000000000000002</v>
      </c>
      <c r="O7" s="12">
        <f>O5*0.9</f>
        <v>270</v>
      </c>
    </row>
    <row r="8" ht="14.25">
      <c r="A8" s="7"/>
      <c r="B8" s="7"/>
      <c r="C8" s="7"/>
      <c r="D8" s="7">
        <f t="shared" si="16"/>
        <v>0</v>
      </c>
      <c r="E8" s="8"/>
      <c r="F8" s="7"/>
      <c r="G8" s="7"/>
      <c r="H8" s="7">
        <f t="shared" si="17"/>
        <v>0</v>
      </c>
      <c r="I8" s="8"/>
      <c r="J8" s="7"/>
      <c r="K8" s="7"/>
      <c r="L8" s="7">
        <f t="shared" si="18"/>
        <v>0</v>
      </c>
      <c r="M8" s="4"/>
      <c r="N8" s="4"/>
      <c r="O8" s="4"/>
    </row>
    <row r="9" ht="14.25">
      <c r="A9" s="7"/>
      <c r="B9" s="7"/>
      <c r="C9" s="7"/>
      <c r="D9" s="7">
        <f t="shared" si="16"/>
        <v>0</v>
      </c>
      <c r="E9" s="8"/>
      <c r="F9" s="7"/>
      <c r="G9" s="7"/>
      <c r="H9" s="7">
        <f t="shared" si="17"/>
        <v>0</v>
      </c>
      <c r="I9" s="8"/>
      <c r="J9" s="7"/>
      <c r="K9" s="7"/>
      <c r="L9" s="7">
        <f t="shared" si="18"/>
        <v>0</v>
      </c>
      <c r="M9" s="4"/>
      <c r="N9" s="4"/>
      <c r="O9" s="4"/>
    </row>
    <row r="10" ht="14.25">
      <c r="A10" s="7"/>
      <c r="B10" s="7"/>
      <c r="C10" s="7"/>
      <c r="D10" s="7">
        <f t="shared" ref="D10:D40" si="19">B10*C10</f>
        <v>0</v>
      </c>
      <c r="E10" s="8"/>
      <c r="F10" s="7"/>
      <c r="G10" s="7"/>
      <c r="H10" s="7">
        <f t="shared" ref="H10:H40" si="20">F10*G10</f>
        <v>0</v>
      </c>
      <c r="I10" s="8"/>
      <c r="J10" s="7"/>
      <c r="K10" s="7"/>
      <c r="L10" s="7">
        <f t="shared" ref="L10:L40" si="21">J10*K10</f>
        <v>0</v>
      </c>
      <c r="M10" s="4"/>
      <c r="N10" s="4"/>
      <c r="O10" s="4"/>
    </row>
    <row r="11" ht="14.25">
      <c r="A11" s="7"/>
      <c r="B11" s="7"/>
      <c r="C11" s="7"/>
      <c r="D11" s="7">
        <f t="shared" si="19"/>
        <v>0</v>
      </c>
      <c r="E11" s="8"/>
      <c r="F11" s="7"/>
      <c r="G11" s="7"/>
      <c r="H11" s="7">
        <f t="shared" si="20"/>
        <v>0</v>
      </c>
      <c r="I11" s="8"/>
      <c r="J11" s="7"/>
      <c r="K11" s="7"/>
      <c r="L11" s="7">
        <f t="shared" si="21"/>
        <v>0</v>
      </c>
      <c r="M11" s="4"/>
      <c r="N11" s="4"/>
      <c r="O11" s="4"/>
    </row>
    <row r="12" ht="14.25">
      <c r="A12" s="7"/>
      <c r="B12" s="7"/>
      <c r="C12" s="7"/>
      <c r="D12" s="7">
        <f t="shared" si="19"/>
        <v>0</v>
      </c>
      <c r="E12" s="8"/>
      <c r="F12" s="7"/>
      <c r="G12" s="7"/>
      <c r="H12" s="7">
        <f t="shared" si="20"/>
        <v>0</v>
      </c>
      <c r="I12" s="8"/>
      <c r="J12" s="7"/>
      <c r="K12" s="7"/>
      <c r="L12" s="7">
        <f t="shared" si="21"/>
        <v>0</v>
      </c>
      <c r="M12" s="4"/>
      <c r="N12" s="4"/>
      <c r="O12" s="4"/>
    </row>
    <row r="13" ht="14.25">
      <c r="A13" s="7"/>
      <c r="B13" s="7"/>
      <c r="C13" s="7"/>
      <c r="D13" s="7">
        <f t="shared" si="19"/>
        <v>0</v>
      </c>
      <c r="E13" s="8"/>
      <c r="F13" s="7"/>
      <c r="G13" s="7"/>
      <c r="H13" s="7">
        <f t="shared" si="20"/>
        <v>0</v>
      </c>
      <c r="I13" s="8"/>
      <c r="J13" s="7"/>
      <c r="K13" s="7"/>
      <c r="L13" s="7">
        <f t="shared" si="21"/>
        <v>0</v>
      </c>
      <c r="M13" s="4"/>
      <c r="N13" s="4"/>
      <c r="O13" s="4"/>
    </row>
    <row r="14" ht="14.25">
      <c r="A14" s="7"/>
      <c r="B14" s="7"/>
      <c r="C14" s="7"/>
      <c r="D14" s="7">
        <f t="shared" si="19"/>
        <v>0</v>
      </c>
      <c r="E14" s="8"/>
      <c r="F14" s="7"/>
      <c r="G14" s="7"/>
      <c r="H14" s="7">
        <f t="shared" si="20"/>
        <v>0</v>
      </c>
      <c r="I14" s="8"/>
      <c r="J14" s="7"/>
      <c r="K14" s="7"/>
      <c r="L14" s="7">
        <f t="shared" si="21"/>
        <v>0</v>
      </c>
      <c r="M14" s="4"/>
      <c r="N14" s="4"/>
      <c r="O14" s="4"/>
    </row>
    <row r="15" ht="14.25">
      <c r="A15" s="7"/>
      <c r="B15" s="7"/>
      <c r="C15" s="7"/>
      <c r="D15" s="7">
        <f t="shared" si="19"/>
        <v>0</v>
      </c>
      <c r="E15" s="8"/>
      <c r="F15" s="7"/>
      <c r="G15" s="7"/>
      <c r="H15" s="7">
        <f t="shared" si="20"/>
        <v>0</v>
      </c>
      <c r="I15" s="8"/>
      <c r="J15" s="7"/>
      <c r="K15" s="7"/>
      <c r="L15" s="7">
        <f t="shared" si="21"/>
        <v>0</v>
      </c>
      <c r="M15" s="4"/>
      <c r="N15" s="4"/>
      <c r="O15" s="4"/>
    </row>
    <row r="16" ht="14.25">
      <c r="A16" s="7"/>
      <c r="B16" s="7"/>
      <c r="C16" s="7"/>
      <c r="D16" s="7">
        <f t="shared" si="19"/>
        <v>0</v>
      </c>
      <c r="E16" s="8"/>
      <c r="F16" s="7"/>
      <c r="G16" s="7"/>
      <c r="H16" s="7">
        <f t="shared" si="20"/>
        <v>0</v>
      </c>
      <c r="I16" s="8"/>
      <c r="J16" s="7"/>
      <c r="K16" s="7"/>
      <c r="L16" s="7">
        <f t="shared" si="21"/>
        <v>0</v>
      </c>
      <c r="M16" s="4"/>
      <c r="N16" s="4"/>
      <c r="O16" s="4"/>
    </row>
    <row r="17" ht="14.25">
      <c r="A17" s="7"/>
      <c r="B17" s="7"/>
      <c r="C17" s="7"/>
      <c r="D17" s="7">
        <f t="shared" si="19"/>
        <v>0</v>
      </c>
      <c r="E17" s="8"/>
      <c r="F17" s="7"/>
      <c r="G17" s="7"/>
      <c r="H17" s="7">
        <f t="shared" si="20"/>
        <v>0</v>
      </c>
      <c r="I17" s="8"/>
      <c r="J17" s="7"/>
      <c r="K17" s="7"/>
      <c r="L17" s="7">
        <f t="shared" si="21"/>
        <v>0</v>
      </c>
      <c r="M17" s="4"/>
      <c r="N17" s="4"/>
      <c r="O17" s="4"/>
    </row>
    <row r="18" ht="14.25">
      <c r="A18" s="7"/>
      <c r="B18" s="7"/>
      <c r="C18" s="7"/>
      <c r="D18" s="7">
        <f t="shared" si="19"/>
        <v>0</v>
      </c>
      <c r="E18" s="8"/>
      <c r="F18" s="7"/>
      <c r="G18" s="7"/>
      <c r="H18" s="7">
        <f t="shared" si="20"/>
        <v>0</v>
      </c>
      <c r="I18" s="8"/>
      <c r="J18" s="7"/>
      <c r="K18" s="7"/>
      <c r="L18" s="7">
        <f t="shared" si="21"/>
        <v>0</v>
      </c>
      <c r="M18" s="4"/>
      <c r="N18" s="4"/>
      <c r="O18" s="4"/>
    </row>
    <row r="19" ht="14.25">
      <c r="A19" s="7"/>
      <c r="B19" s="7"/>
      <c r="C19" s="7"/>
      <c r="D19" s="7">
        <f t="shared" si="19"/>
        <v>0</v>
      </c>
      <c r="E19" s="8"/>
      <c r="F19" s="7"/>
      <c r="G19" s="7"/>
      <c r="H19" s="7">
        <f t="shared" si="20"/>
        <v>0</v>
      </c>
      <c r="I19" s="8"/>
      <c r="J19" s="7"/>
      <c r="K19" s="7"/>
      <c r="L19" s="7">
        <f t="shared" si="21"/>
        <v>0</v>
      </c>
      <c r="M19" s="4"/>
      <c r="N19" s="4"/>
      <c r="O19" s="4"/>
    </row>
    <row r="20" ht="14.25">
      <c r="A20" s="13"/>
      <c r="B20" s="13"/>
      <c r="C20" s="13"/>
      <c r="D20" s="13">
        <f t="shared" si="19"/>
        <v>0</v>
      </c>
      <c r="E20" s="14"/>
      <c r="F20" s="13"/>
      <c r="G20" s="13"/>
      <c r="H20" s="13">
        <f t="shared" si="20"/>
        <v>0</v>
      </c>
      <c r="I20" s="14"/>
      <c r="J20" s="13"/>
      <c r="K20" s="13"/>
      <c r="L20" s="13">
        <f t="shared" si="21"/>
        <v>0</v>
      </c>
      <c r="M20" s="4"/>
      <c r="N20" s="4"/>
      <c r="O20" s="4"/>
    </row>
    <row r="21" ht="14.25">
      <c r="A21" s="13"/>
      <c r="B21" s="13"/>
      <c r="C21" s="13"/>
      <c r="D21" s="13">
        <f t="shared" si="19"/>
        <v>0</v>
      </c>
      <c r="E21" s="14"/>
      <c r="F21" s="13"/>
      <c r="G21" s="13"/>
      <c r="H21" s="13">
        <f t="shared" si="20"/>
        <v>0</v>
      </c>
      <c r="I21" s="14"/>
      <c r="J21" s="13"/>
      <c r="K21" s="13"/>
      <c r="L21" s="13">
        <f t="shared" si="21"/>
        <v>0</v>
      </c>
      <c r="M21" s="4"/>
      <c r="N21" s="4"/>
      <c r="O21" s="4"/>
    </row>
    <row r="22" ht="14.25">
      <c r="A22" s="13"/>
      <c r="B22" s="13"/>
      <c r="C22" s="13"/>
      <c r="D22" s="13">
        <f t="shared" si="19"/>
        <v>0</v>
      </c>
      <c r="E22" s="14"/>
      <c r="F22" s="13"/>
      <c r="G22" s="13"/>
      <c r="H22" s="13">
        <f t="shared" si="20"/>
        <v>0</v>
      </c>
      <c r="I22" s="14"/>
      <c r="J22" s="13"/>
      <c r="K22" s="13"/>
      <c r="L22" s="13">
        <f t="shared" si="21"/>
        <v>0</v>
      </c>
      <c r="M22" s="4"/>
      <c r="N22" s="4"/>
      <c r="O22" s="4"/>
    </row>
    <row r="23" ht="14.25">
      <c r="A23" s="13"/>
      <c r="B23" s="13"/>
      <c r="C23" s="13"/>
      <c r="D23" s="13">
        <f t="shared" si="19"/>
        <v>0</v>
      </c>
      <c r="E23" s="14"/>
      <c r="F23" s="13"/>
      <c r="G23" s="13"/>
      <c r="H23" s="13">
        <f t="shared" si="20"/>
        <v>0</v>
      </c>
      <c r="I23" s="14"/>
      <c r="J23" s="13"/>
      <c r="K23" s="13"/>
      <c r="L23" s="13">
        <f t="shared" si="21"/>
        <v>0</v>
      </c>
      <c r="M23" s="4"/>
      <c r="N23" s="4"/>
      <c r="O23" s="4"/>
    </row>
    <row r="24" ht="14.25">
      <c r="A24" s="13"/>
      <c r="B24" s="13"/>
      <c r="C24" s="13"/>
      <c r="D24" s="13">
        <f t="shared" si="19"/>
        <v>0</v>
      </c>
      <c r="E24" s="14"/>
      <c r="F24" s="13"/>
      <c r="G24" s="13"/>
      <c r="H24" s="13">
        <f t="shared" si="20"/>
        <v>0</v>
      </c>
      <c r="I24" s="14"/>
      <c r="J24" s="13"/>
      <c r="K24" s="13"/>
      <c r="L24" s="13">
        <f t="shared" si="21"/>
        <v>0</v>
      </c>
      <c r="M24" s="4"/>
      <c r="N24" s="4"/>
      <c r="O24" s="4"/>
    </row>
    <row r="25" ht="14.25">
      <c r="A25" s="13"/>
      <c r="B25" s="13"/>
      <c r="C25" s="13"/>
      <c r="D25" s="13">
        <f t="shared" si="19"/>
        <v>0</v>
      </c>
      <c r="E25" s="14"/>
      <c r="F25" s="13"/>
      <c r="G25" s="13"/>
      <c r="H25" s="13">
        <f t="shared" si="20"/>
        <v>0</v>
      </c>
      <c r="I25" s="14"/>
      <c r="J25" s="13"/>
      <c r="K25" s="13"/>
      <c r="L25" s="13">
        <f t="shared" si="21"/>
        <v>0</v>
      </c>
      <c r="M25" s="4"/>
      <c r="N25" s="4"/>
      <c r="O25" s="4"/>
    </row>
    <row r="26" ht="14.25">
      <c r="A26" s="13"/>
      <c r="B26" s="13"/>
      <c r="C26" s="13"/>
      <c r="D26" s="13">
        <f t="shared" si="19"/>
        <v>0</v>
      </c>
      <c r="E26" s="14"/>
      <c r="F26" s="13"/>
      <c r="G26" s="13"/>
      <c r="H26" s="13">
        <f t="shared" si="20"/>
        <v>0</v>
      </c>
      <c r="I26" s="14"/>
      <c r="J26" s="13"/>
      <c r="K26" s="13"/>
      <c r="L26" s="13">
        <f t="shared" si="21"/>
        <v>0</v>
      </c>
      <c r="M26" s="4"/>
      <c r="N26" s="4"/>
      <c r="O26" s="4"/>
    </row>
    <row r="27" ht="14.25">
      <c r="A27" s="13"/>
      <c r="B27" s="13"/>
      <c r="C27" s="13"/>
      <c r="D27" s="13">
        <f t="shared" si="19"/>
        <v>0</v>
      </c>
      <c r="E27" s="14"/>
      <c r="F27" s="13"/>
      <c r="G27" s="13"/>
      <c r="H27" s="13">
        <f t="shared" si="20"/>
        <v>0</v>
      </c>
      <c r="I27" s="14"/>
      <c r="J27" s="13"/>
      <c r="K27" s="13"/>
      <c r="L27" s="13">
        <f t="shared" si="21"/>
        <v>0</v>
      </c>
      <c r="M27" s="4"/>
      <c r="N27" s="4"/>
      <c r="O27" s="4"/>
    </row>
    <row r="28" ht="14.25">
      <c r="A28" s="13"/>
      <c r="B28" s="13"/>
      <c r="C28" s="13"/>
      <c r="D28" s="13">
        <f t="shared" si="19"/>
        <v>0</v>
      </c>
      <c r="E28" s="14"/>
      <c r="F28" s="13"/>
      <c r="G28" s="13"/>
      <c r="H28" s="13">
        <f t="shared" si="20"/>
        <v>0</v>
      </c>
      <c r="I28" s="14"/>
      <c r="J28" s="13"/>
      <c r="K28" s="13"/>
      <c r="L28" s="13">
        <f t="shared" si="21"/>
        <v>0</v>
      </c>
      <c r="M28" s="4"/>
      <c r="N28" s="4"/>
      <c r="O28" s="4"/>
    </row>
    <row r="29" ht="14.25">
      <c r="A29" s="13"/>
      <c r="B29" s="13"/>
      <c r="C29" s="13"/>
      <c r="D29" s="13">
        <f t="shared" si="19"/>
        <v>0</v>
      </c>
      <c r="E29" s="14"/>
      <c r="F29" s="13"/>
      <c r="G29" s="13"/>
      <c r="H29" s="13">
        <f t="shared" si="20"/>
        <v>0</v>
      </c>
      <c r="I29" s="14"/>
      <c r="J29" s="13"/>
      <c r="K29" s="13"/>
      <c r="L29" s="13">
        <f t="shared" si="21"/>
        <v>0</v>
      </c>
      <c r="M29" s="4"/>
      <c r="N29" s="4"/>
      <c r="O29" s="4"/>
    </row>
    <row r="30" ht="14.25">
      <c r="A30" s="13"/>
      <c r="B30" s="13"/>
      <c r="C30" s="13"/>
      <c r="D30" s="13">
        <f t="shared" si="19"/>
        <v>0</v>
      </c>
      <c r="E30" s="14"/>
      <c r="F30" s="13"/>
      <c r="G30" s="13"/>
      <c r="H30" s="13">
        <f t="shared" si="20"/>
        <v>0</v>
      </c>
      <c r="I30" s="14"/>
      <c r="J30" s="13"/>
      <c r="K30" s="13"/>
      <c r="L30" s="13">
        <f t="shared" si="21"/>
        <v>0</v>
      </c>
      <c r="M30" s="4"/>
      <c r="N30" s="4"/>
      <c r="O30" s="4"/>
    </row>
    <row r="31" ht="14.25">
      <c r="A31" s="13"/>
      <c r="B31" s="13"/>
      <c r="C31" s="13"/>
      <c r="D31" s="13">
        <f t="shared" si="19"/>
        <v>0</v>
      </c>
      <c r="E31" s="14"/>
      <c r="F31" s="13"/>
      <c r="G31" s="13"/>
      <c r="H31" s="13">
        <f t="shared" si="20"/>
        <v>0</v>
      </c>
      <c r="I31" s="14"/>
      <c r="J31" s="13"/>
      <c r="K31" s="13"/>
      <c r="L31" s="13">
        <f t="shared" si="21"/>
        <v>0</v>
      </c>
      <c r="M31" s="4"/>
      <c r="N31" s="4"/>
      <c r="O31" s="4"/>
    </row>
    <row r="32" ht="14.25">
      <c r="A32" s="13"/>
      <c r="B32" s="13"/>
      <c r="C32" s="13"/>
      <c r="D32" s="13">
        <f t="shared" si="19"/>
        <v>0</v>
      </c>
      <c r="E32" s="14"/>
      <c r="F32" s="13"/>
      <c r="G32" s="13"/>
      <c r="H32" s="13">
        <f t="shared" si="20"/>
        <v>0</v>
      </c>
      <c r="I32" s="14"/>
      <c r="J32" s="13"/>
      <c r="K32" s="13"/>
      <c r="L32" s="13">
        <f t="shared" si="21"/>
        <v>0</v>
      </c>
      <c r="M32" s="4"/>
      <c r="N32" s="4"/>
      <c r="O32" s="4"/>
    </row>
    <row r="33" ht="14.25">
      <c r="A33" s="13"/>
      <c r="B33" s="13"/>
      <c r="C33" s="13"/>
      <c r="D33" s="13">
        <f t="shared" si="19"/>
        <v>0</v>
      </c>
      <c r="E33" s="14"/>
      <c r="F33" s="13"/>
      <c r="G33" s="13"/>
      <c r="H33" s="13">
        <f t="shared" si="20"/>
        <v>0</v>
      </c>
      <c r="I33" s="14"/>
      <c r="J33" s="13"/>
      <c r="K33" s="13"/>
      <c r="L33" s="13">
        <f t="shared" si="21"/>
        <v>0</v>
      </c>
      <c r="M33" s="4"/>
      <c r="N33" s="4"/>
      <c r="O33" s="4"/>
    </row>
    <row r="34" ht="14.25">
      <c r="A34" s="13"/>
      <c r="B34" s="13"/>
      <c r="C34" s="13"/>
      <c r="D34" s="13">
        <f t="shared" si="19"/>
        <v>0</v>
      </c>
      <c r="E34" s="14"/>
      <c r="F34" s="13"/>
      <c r="G34" s="13"/>
      <c r="H34" s="13">
        <f t="shared" si="20"/>
        <v>0</v>
      </c>
      <c r="I34" s="14"/>
      <c r="J34" s="13"/>
      <c r="K34" s="13"/>
      <c r="L34" s="13">
        <f t="shared" si="21"/>
        <v>0</v>
      </c>
      <c r="M34" s="4"/>
      <c r="N34" s="4"/>
      <c r="O34" s="4"/>
    </row>
    <row r="35" ht="14.25">
      <c r="A35" s="13"/>
      <c r="B35" s="13"/>
      <c r="C35" s="13"/>
      <c r="D35" s="13">
        <f t="shared" si="19"/>
        <v>0</v>
      </c>
      <c r="E35" s="14"/>
      <c r="F35" s="13"/>
      <c r="G35" s="13"/>
      <c r="H35" s="13">
        <f t="shared" si="20"/>
        <v>0</v>
      </c>
      <c r="I35" s="14"/>
      <c r="J35" s="13"/>
      <c r="K35" s="13"/>
      <c r="L35" s="13">
        <f t="shared" si="21"/>
        <v>0</v>
      </c>
      <c r="M35" s="4"/>
      <c r="N35" s="4"/>
      <c r="O35" s="4"/>
    </row>
    <row r="36" ht="14.25">
      <c r="A36" s="13"/>
      <c r="B36" s="13"/>
      <c r="C36" s="13"/>
      <c r="D36" s="13">
        <f t="shared" si="19"/>
        <v>0</v>
      </c>
      <c r="E36" s="14"/>
      <c r="F36" s="13"/>
      <c r="G36" s="13"/>
      <c r="H36" s="13">
        <f t="shared" si="20"/>
        <v>0</v>
      </c>
      <c r="I36" s="14"/>
      <c r="J36" s="13"/>
      <c r="K36" s="13"/>
      <c r="L36" s="13">
        <f t="shared" si="21"/>
        <v>0</v>
      </c>
      <c r="M36" s="4"/>
      <c r="N36" s="4"/>
      <c r="O36" s="4"/>
    </row>
    <row r="37" ht="14.25">
      <c r="A37" s="13"/>
      <c r="B37" s="13"/>
      <c r="C37" s="13"/>
      <c r="D37" s="13">
        <f t="shared" si="19"/>
        <v>0</v>
      </c>
      <c r="E37" s="14"/>
      <c r="F37" s="13"/>
      <c r="G37" s="13"/>
      <c r="H37" s="13">
        <f t="shared" si="20"/>
        <v>0</v>
      </c>
      <c r="I37" s="14"/>
      <c r="J37" s="13"/>
      <c r="K37" s="13"/>
      <c r="L37" s="13">
        <f t="shared" si="21"/>
        <v>0</v>
      </c>
      <c r="M37" s="4"/>
      <c r="N37" s="4"/>
      <c r="O37" s="4"/>
    </row>
    <row r="38" ht="14.25">
      <c r="A38" s="13"/>
      <c r="B38" s="13"/>
      <c r="C38" s="13"/>
      <c r="D38" s="13">
        <f t="shared" si="19"/>
        <v>0</v>
      </c>
      <c r="E38" s="14"/>
      <c r="F38" s="13"/>
      <c r="G38" s="13"/>
      <c r="H38" s="13">
        <f t="shared" si="20"/>
        <v>0</v>
      </c>
      <c r="I38" s="14"/>
      <c r="J38" s="13"/>
      <c r="K38" s="13"/>
      <c r="L38" s="13">
        <f t="shared" si="21"/>
        <v>0</v>
      </c>
      <c r="M38" s="4"/>
      <c r="N38" s="4"/>
      <c r="O38" s="4"/>
    </row>
    <row r="39" ht="14.25">
      <c r="A39" s="13"/>
      <c r="B39" s="13"/>
      <c r="C39" s="13"/>
      <c r="D39" s="13">
        <f t="shared" si="19"/>
        <v>0</v>
      </c>
      <c r="E39" s="14"/>
      <c r="F39" s="13"/>
      <c r="G39" s="13"/>
      <c r="H39" s="13">
        <f t="shared" si="20"/>
        <v>0</v>
      </c>
      <c r="I39" s="14"/>
      <c r="J39" s="13"/>
      <c r="K39" s="13"/>
      <c r="L39" s="13">
        <f t="shared" si="21"/>
        <v>0</v>
      </c>
      <c r="M39" s="4"/>
      <c r="N39" s="4"/>
      <c r="O39" s="4"/>
    </row>
    <row r="40" ht="14.25">
      <c r="A40" s="13"/>
      <c r="B40" s="13"/>
      <c r="C40" s="13"/>
      <c r="D40" s="13">
        <f t="shared" si="19"/>
        <v>0</v>
      </c>
      <c r="E40" s="14"/>
      <c r="F40" s="13"/>
      <c r="G40" s="13"/>
      <c r="H40" s="13">
        <f t="shared" si="20"/>
        <v>0</v>
      </c>
      <c r="I40" s="14"/>
      <c r="J40" s="13"/>
      <c r="K40" s="13"/>
      <c r="L40" s="13">
        <f t="shared" si="21"/>
        <v>0</v>
      </c>
      <c r="M40" s="4"/>
      <c r="N40" s="4"/>
      <c r="O40" s="4"/>
    </row>
  </sheetData>
  <conditionalFormatting sqref="O3">
    <cfRule type="colorScale" priority="1">
      <colorScale>
        <cfvo type="num" val="$O$6"/>
        <cfvo type="num" val="$O$5"/>
        <cfvo type="num" val="$O$4"/>
        <color rgb="FF92D050"/>
        <color indexed="5"/>
        <color indexed="2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" width="30.7109375"/>
    <col bestFit="1" customWidth="1" min="2" max="2" style="1" width="7.00390625"/>
    <col bestFit="1" customWidth="1" min="3" max="3" style="1" width="7.57421875"/>
    <col bestFit="1" customWidth="1" min="4" max="4" style="1" width="10.421875"/>
    <col customWidth="1" min="5" max="5" style="1" width="30.7109375"/>
    <col bestFit="1" customWidth="1" min="6" max="6" style="1" width="7.00390625"/>
    <col bestFit="1" customWidth="1" min="7" max="7" style="1" width="7.57421875"/>
    <col bestFit="1" customWidth="1" min="8" max="8" style="1" width="10.421875"/>
    <col customWidth="1" min="9" max="9" style="1" width="30.7109375"/>
    <col bestFit="1" customWidth="1" min="10" max="10" style="1" width="7.00390625"/>
    <col bestFit="1" customWidth="1" min="11" max="11" style="1" width="7.57421875"/>
    <col bestFit="1" customWidth="1" min="12" max="12" style="1" width="10.421875"/>
    <col min="13" max="13" style="1" width="9.140625"/>
    <col bestFit="1" min="14" max="14" style="1" width="11.8515625"/>
    <col min="15" max="16384" style="1" width="9.140625"/>
  </cols>
  <sheetData>
    <row r="1">
      <c r="A1" s="2" t="s">
        <v>11</v>
      </c>
      <c r="B1" s="2" t="s">
        <v>1</v>
      </c>
      <c r="C1" s="2" t="s">
        <v>2</v>
      </c>
      <c r="D1" s="2" t="s">
        <v>3</v>
      </c>
      <c r="E1" s="3" t="s">
        <v>11</v>
      </c>
      <c r="F1" s="2" t="s">
        <v>1</v>
      </c>
      <c r="G1" s="2" t="s">
        <v>2</v>
      </c>
      <c r="H1" s="2" t="s">
        <v>3</v>
      </c>
      <c r="I1" s="3" t="s">
        <v>11</v>
      </c>
      <c r="J1" s="2" t="s">
        <v>1</v>
      </c>
      <c r="K1" s="2" t="s">
        <v>2</v>
      </c>
      <c r="L1" s="2" t="s">
        <v>3</v>
      </c>
      <c r="M1" s="4"/>
      <c r="N1" s="5" t="s">
        <v>6</v>
      </c>
      <c r="O1" s="6">
        <f>SUM(D2:D26,H2:H26,L2:L26)</f>
        <v>0</v>
      </c>
    </row>
    <row r="2" ht="14.25">
      <c r="A2" s="7"/>
      <c r="B2" s="7"/>
      <c r="C2" s="7"/>
      <c r="D2" s="7">
        <f>B2*C2</f>
        <v>0</v>
      </c>
      <c r="E2" s="8"/>
      <c r="F2" s="7"/>
      <c r="G2" s="7"/>
      <c r="H2" s="7">
        <f t="shared" ref="H2:H9" si="22">F2*G2</f>
        <v>0</v>
      </c>
      <c r="I2" s="8"/>
      <c r="J2" s="7"/>
      <c r="K2" s="7"/>
      <c r="L2" s="7">
        <f t="shared" ref="L2:L9" si="23">J2*K2</f>
        <v>0</v>
      </c>
      <c r="M2" s="4"/>
      <c r="N2" s="5" t="s">
        <v>7</v>
      </c>
      <c r="O2" s="6">
        <f>SUM(B2:B20,F2:F20,J2:J20)</f>
        <v>0</v>
      </c>
    </row>
    <row r="3" ht="14.25">
      <c r="A3" s="7"/>
      <c r="B3" s="7"/>
      <c r="C3" s="7"/>
      <c r="D3" s="7">
        <v>0</v>
      </c>
      <c r="E3" s="8"/>
      <c r="F3" s="7"/>
      <c r="G3" s="7"/>
      <c r="H3" s="7">
        <f t="shared" si="22"/>
        <v>0</v>
      </c>
      <c r="I3" s="8"/>
      <c r="J3" s="7"/>
      <c r="K3" s="7"/>
      <c r="L3" s="7">
        <f t="shared" si="23"/>
        <v>0</v>
      </c>
      <c r="M3" s="4"/>
      <c r="N3" s="5"/>
      <c r="O3" s="6"/>
    </row>
    <row r="4" ht="14.25">
      <c r="A4" s="7"/>
      <c r="B4" s="7"/>
      <c r="C4" s="7"/>
      <c r="D4" s="7">
        <f t="shared" ref="D4:D9" si="24">B4*C4</f>
        <v>0</v>
      </c>
      <c r="E4" s="8"/>
      <c r="F4" s="7"/>
      <c r="G4" s="7"/>
      <c r="H4" s="7">
        <f t="shared" si="22"/>
        <v>0</v>
      </c>
      <c r="I4" s="8"/>
      <c r="J4" s="7"/>
      <c r="K4" s="7"/>
      <c r="L4" s="7">
        <f t="shared" si="23"/>
        <v>0</v>
      </c>
      <c r="M4" s="4"/>
      <c r="N4" s="5" t="s">
        <v>12</v>
      </c>
      <c r="O4" s="6">
        <v>2</v>
      </c>
    </row>
    <row r="5" ht="14.25">
      <c r="A5" s="7"/>
      <c r="B5" s="7"/>
      <c r="C5" s="7"/>
      <c r="D5" s="7">
        <f t="shared" si="24"/>
        <v>0</v>
      </c>
      <c r="E5" s="8"/>
      <c r="F5" s="7"/>
      <c r="G5" s="7"/>
      <c r="H5" s="7">
        <f t="shared" si="22"/>
        <v>0</v>
      </c>
      <c r="I5" s="8"/>
      <c r="J5" s="7"/>
      <c r="K5" s="7"/>
      <c r="L5" s="7">
        <f t="shared" si="23"/>
        <v>0</v>
      </c>
      <c r="M5" s="4"/>
      <c r="N5" s="5" t="s">
        <v>8</v>
      </c>
      <c r="O5" s="6">
        <v>40</v>
      </c>
    </row>
    <row r="6" ht="14.25">
      <c r="A6" s="7"/>
      <c r="B6" s="7"/>
      <c r="C6" s="7"/>
      <c r="D6" s="7">
        <f t="shared" si="24"/>
        <v>0</v>
      </c>
      <c r="E6" s="8"/>
      <c r="F6" s="7"/>
      <c r="G6" s="7"/>
      <c r="H6" s="7">
        <f t="shared" si="22"/>
        <v>0</v>
      </c>
      <c r="I6" s="8"/>
      <c r="J6" s="7"/>
      <c r="K6" s="7"/>
      <c r="L6" s="7">
        <f t="shared" si="23"/>
        <v>0</v>
      </c>
      <c r="M6" s="4"/>
      <c r="N6" s="15">
        <v>0.94999999999999996</v>
      </c>
      <c r="O6" s="10">
        <f>O5*0.95</f>
        <v>38</v>
      </c>
    </row>
    <row r="7" ht="14.25">
      <c r="A7" s="7"/>
      <c r="B7" s="7"/>
      <c r="C7" s="7"/>
      <c r="D7" s="7">
        <f t="shared" si="24"/>
        <v>0</v>
      </c>
      <c r="E7" s="8"/>
      <c r="F7" s="7"/>
      <c r="G7" s="7"/>
      <c r="H7" s="7">
        <f t="shared" si="22"/>
        <v>0</v>
      </c>
      <c r="I7" s="8"/>
      <c r="J7" s="7"/>
      <c r="K7" s="7"/>
      <c r="L7" s="7">
        <f t="shared" si="23"/>
        <v>0</v>
      </c>
      <c r="M7" s="4"/>
      <c r="N7" s="16">
        <v>0.90000000000000002</v>
      </c>
      <c r="O7" s="12">
        <f>O5*0.9</f>
        <v>36</v>
      </c>
    </row>
    <row r="8" ht="14.25">
      <c r="A8" s="7"/>
      <c r="B8" s="7"/>
      <c r="C8" s="7"/>
      <c r="D8" s="7">
        <f t="shared" si="24"/>
        <v>0</v>
      </c>
      <c r="E8" s="8"/>
      <c r="F8" s="7"/>
      <c r="G8" s="7"/>
      <c r="H8" s="7">
        <f t="shared" si="22"/>
        <v>0</v>
      </c>
      <c r="I8" s="8"/>
      <c r="J8" s="7"/>
      <c r="K8" s="7"/>
      <c r="L8" s="7">
        <f t="shared" si="23"/>
        <v>0</v>
      </c>
      <c r="M8" s="4"/>
      <c r="N8" s="4"/>
      <c r="O8" s="4"/>
    </row>
    <row r="9" ht="14.25">
      <c r="A9" s="7"/>
      <c r="B9" s="7"/>
      <c r="C9" s="7"/>
      <c r="D9" s="7">
        <f t="shared" si="24"/>
        <v>0</v>
      </c>
      <c r="E9" s="8"/>
      <c r="F9" s="7"/>
      <c r="G9" s="7"/>
      <c r="H9" s="7">
        <f t="shared" si="22"/>
        <v>0</v>
      </c>
      <c r="I9" s="8"/>
      <c r="J9" s="7"/>
      <c r="K9" s="7"/>
      <c r="L9" s="7">
        <f t="shared" si="23"/>
        <v>0</v>
      </c>
      <c r="M9" s="4"/>
      <c r="N9" s="4"/>
      <c r="O9" s="4"/>
    </row>
    <row r="10" ht="14.25">
      <c r="A10" s="7"/>
      <c r="B10" s="7"/>
      <c r="C10" s="7"/>
      <c r="D10" s="7">
        <f t="shared" ref="D10:D20" si="25">B10*C10</f>
        <v>0</v>
      </c>
      <c r="E10" s="8"/>
      <c r="F10" s="7"/>
      <c r="G10" s="7"/>
      <c r="H10" s="7">
        <f t="shared" ref="H10:H20" si="26">F10*G10</f>
        <v>0</v>
      </c>
      <c r="I10" s="8"/>
      <c r="J10" s="7"/>
      <c r="K10" s="7"/>
      <c r="L10" s="7">
        <f t="shared" ref="L10:L20" si="27">J10*K10</f>
        <v>0</v>
      </c>
      <c r="M10" s="4"/>
      <c r="N10" s="4"/>
      <c r="O10" s="4"/>
    </row>
    <row r="11" ht="14.25">
      <c r="A11" s="7"/>
      <c r="B11" s="7"/>
      <c r="C11" s="7"/>
      <c r="D11" s="7">
        <f t="shared" si="25"/>
        <v>0</v>
      </c>
      <c r="E11" s="8"/>
      <c r="F11" s="7"/>
      <c r="G11" s="7"/>
      <c r="H11" s="7">
        <f t="shared" si="26"/>
        <v>0</v>
      </c>
      <c r="I11" s="8"/>
      <c r="J11" s="7"/>
      <c r="K11" s="7"/>
      <c r="L11" s="7">
        <f t="shared" si="27"/>
        <v>0</v>
      </c>
      <c r="M11" s="4"/>
      <c r="N11" s="4"/>
      <c r="O11" s="4"/>
    </row>
    <row r="12" ht="14.25">
      <c r="A12" s="7"/>
      <c r="B12" s="7"/>
      <c r="C12" s="7"/>
      <c r="D12" s="7">
        <f t="shared" si="25"/>
        <v>0</v>
      </c>
      <c r="E12" s="8"/>
      <c r="F12" s="7"/>
      <c r="G12" s="7"/>
      <c r="H12" s="7">
        <f t="shared" si="26"/>
        <v>0</v>
      </c>
      <c r="I12" s="8"/>
      <c r="J12" s="7"/>
      <c r="K12" s="7"/>
      <c r="L12" s="7">
        <f t="shared" si="27"/>
        <v>0</v>
      </c>
      <c r="M12" s="4"/>
      <c r="N12" s="4"/>
      <c r="O12" s="4"/>
    </row>
    <row r="13" ht="14.25">
      <c r="A13" s="7"/>
      <c r="B13" s="7"/>
      <c r="C13" s="7"/>
      <c r="D13" s="7">
        <f t="shared" si="25"/>
        <v>0</v>
      </c>
      <c r="E13" s="8"/>
      <c r="F13" s="7"/>
      <c r="G13" s="7"/>
      <c r="H13" s="7">
        <f t="shared" si="26"/>
        <v>0</v>
      </c>
      <c r="I13" s="8"/>
      <c r="J13" s="7"/>
      <c r="K13" s="7"/>
      <c r="L13" s="7">
        <f t="shared" si="27"/>
        <v>0</v>
      </c>
      <c r="M13" s="4"/>
      <c r="N13" s="4"/>
      <c r="O13" s="4"/>
    </row>
    <row r="14" ht="14.25">
      <c r="A14" s="7"/>
      <c r="B14" s="7"/>
      <c r="C14" s="7"/>
      <c r="D14" s="7">
        <f t="shared" si="25"/>
        <v>0</v>
      </c>
      <c r="E14" s="8"/>
      <c r="F14" s="7"/>
      <c r="G14" s="7"/>
      <c r="H14" s="7">
        <f t="shared" si="26"/>
        <v>0</v>
      </c>
      <c r="I14" s="8"/>
      <c r="J14" s="7"/>
      <c r="K14" s="7"/>
      <c r="L14" s="7">
        <f t="shared" si="27"/>
        <v>0</v>
      </c>
      <c r="M14" s="4"/>
      <c r="N14" s="4"/>
      <c r="O14" s="4"/>
    </row>
    <row r="15" ht="14.25">
      <c r="A15" s="7"/>
      <c r="B15" s="7"/>
      <c r="C15" s="7"/>
      <c r="D15" s="7">
        <f t="shared" si="25"/>
        <v>0</v>
      </c>
      <c r="E15" s="8"/>
      <c r="F15" s="7"/>
      <c r="G15" s="7"/>
      <c r="H15" s="7">
        <f t="shared" si="26"/>
        <v>0</v>
      </c>
      <c r="I15" s="8"/>
      <c r="J15" s="7"/>
      <c r="K15" s="7"/>
      <c r="L15" s="7">
        <f t="shared" si="27"/>
        <v>0</v>
      </c>
      <c r="M15" s="4"/>
      <c r="N15" s="4"/>
      <c r="O15" s="4"/>
    </row>
    <row r="16" ht="14.25">
      <c r="A16" s="7"/>
      <c r="B16" s="7"/>
      <c r="C16" s="7"/>
      <c r="D16" s="7">
        <f t="shared" si="25"/>
        <v>0</v>
      </c>
      <c r="E16" s="8"/>
      <c r="F16" s="7"/>
      <c r="G16" s="7"/>
      <c r="H16" s="7">
        <f t="shared" si="26"/>
        <v>0</v>
      </c>
      <c r="I16" s="8"/>
      <c r="J16" s="7"/>
      <c r="K16" s="7"/>
      <c r="L16" s="7">
        <f t="shared" si="27"/>
        <v>0</v>
      </c>
      <c r="M16" s="4"/>
      <c r="N16" s="4"/>
      <c r="O16" s="4"/>
    </row>
    <row r="17" ht="14.25">
      <c r="A17" s="7"/>
      <c r="B17" s="7"/>
      <c r="C17" s="7"/>
      <c r="D17" s="7">
        <f t="shared" si="25"/>
        <v>0</v>
      </c>
      <c r="E17" s="8"/>
      <c r="F17" s="7"/>
      <c r="G17" s="7"/>
      <c r="H17" s="7">
        <f t="shared" si="26"/>
        <v>0</v>
      </c>
      <c r="I17" s="8"/>
      <c r="J17" s="7"/>
      <c r="K17" s="7"/>
      <c r="L17" s="7">
        <f t="shared" si="27"/>
        <v>0</v>
      </c>
      <c r="M17" s="4"/>
      <c r="N17" s="4"/>
      <c r="O17" s="4"/>
    </row>
    <row r="18" ht="14.25">
      <c r="A18" s="7"/>
      <c r="B18" s="7"/>
      <c r="C18" s="7"/>
      <c r="D18" s="7">
        <f t="shared" si="25"/>
        <v>0</v>
      </c>
      <c r="E18" s="8"/>
      <c r="F18" s="7"/>
      <c r="G18" s="7"/>
      <c r="H18" s="7">
        <f t="shared" si="26"/>
        <v>0</v>
      </c>
      <c r="I18" s="8"/>
      <c r="J18" s="7"/>
      <c r="K18" s="7"/>
      <c r="L18" s="7">
        <f t="shared" si="27"/>
        <v>0</v>
      </c>
      <c r="M18" s="4"/>
      <c r="N18" s="4"/>
      <c r="O18" s="4"/>
    </row>
    <row r="19" ht="14.25">
      <c r="A19" s="7"/>
      <c r="B19" s="7"/>
      <c r="C19" s="7"/>
      <c r="D19" s="7">
        <f t="shared" si="25"/>
        <v>0</v>
      </c>
      <c r="E19" s="8"/>
      <c r="F19" s="7"/>
      <c r="G19" s="7"/>
      <c r="H19" s="7">
        <f t="shared" si="26"/>
        <v>0</v>
      </c>
      <c r="I19" s="8"/>
      <c r="J19" s="7"/>
      <c r="K19" s="7"/>
      <c r="L19" s="7">
        <f t="shared" si="27"/>
        <v>0</v>
      </c>
      <c r="M19" s="4"/>
      <c r="N19" s="4"/>
      <c r="O19" s="4"/>
    </row>
    <row r="20" ht="14.25">
      <c r="A20" s="13"/>
      <c r="B20" s="13"/>
      <c r="C20" s="13"/>
      <c r="D20" s="13">
        <f t="shared" si="25"/>
        <v>0</v>
      </c>
      <c r="E20" s="14"/>
      <c r="F20" s="13"/>
      <c r="G20" s="13"/>
      <c r="H20" s="13">
        <f t="shared" si="26"/>
        <v>0</v>
      </c>
      <c r="I20" s="14"/>
      <c r="J20" s="13"/>
      <c r="K20" s="13"/>
      <c r="L20" s="13">
        <f t="shared" si="27"/>
        <v>0</v>
      </c>
      <c r="M20" s="4"/>
      <c r="N20" s="4"/>
      <c r="O20" s="4"/>
    </row>
    <row r="21" ht="14.25">
      <c r="A21" s="13"/>
      <c r="B21" s="13"/>
      <c r="C21" s="13"/>
      <c r="D21" s="13">
        <v>0</v>
      </c>
      <c r="E21" s="14"/>
      <c r="F21" s="13"/>
      <c r="G21" s="13"/>
      <c r="H21" s="13">
        <v>0</v>
      </c>
      <c r="I21" s="14"/>
      <c r="J21" s="13"/>
      <c r="K21" s="13"/>
      <c r="L21" s="13">
        <v>0</v>
      </c>
      <c r="M21" s="4"/>
      <c r="N21" s="4"/>
      <c r="O21" s="4"/>
    </row>
    <row r="22" ht="14.25">
      <c r="A22" s="13"/>
      <c r="B22" s="13"/>
      <c r="C22" s="13"/>
      <c r="D22" s="13">
        <v>0</v>
      </c>
      <c r="E22" s="14"/>
      <c r="F22" s="13"/>
      <c r="G22" s="13"/>
      <c r="H22" s="13">
        <v>0</v>
      </c>
      <c r="I22" s="14"/>
      <c r="J22" s="13"/>
      <c r="K22" s="13"/>
      <c r="L22" s="13">
        <v>0</v>
      </c>
      <c r="M22" s="4"/>
      <c r="N22" s="4"/>
      <c r="O22" s="4"/>
    </row>
    <row r="23" ht="14.25">
      <c r="A23" s="13"/>
      <c r="B23" s="13"/>
      <c r="C23" s="13"/>
      <c r="D23" s="13">
        <v>0</v>
      </c>
      <c r="E23" s="14"/>
      <c r="F23" s="13"/>
      <c r="G23" s="13"/>
      <c r="H23" s="13">
        <v>0</v>
      </c>
      <c r="I23" s="14"/>
      <c r="J23" s="13"/>
      <c r="K23" s="13"/>
      <c r="L23" s="13">
        <v>0</v>
      </c>
      <c r="M23" s="4"/>
      <c r="N23" s="4"/>
      <c r="O23" s="4"/>
    </row>
    <row r="24" ht="14.25">
      <c r="A24" s="13"/>
      <c r="B24" s="13"/>
      <c r="C24" s="13"/>
      <c r="D24" s="13">
        <v>0</v>
      </c>
      <c r="E24" s="14"/>
      <c r="F24" s="13"/>
      <c r="G24" s="13"/>
      <c r="H24" s="13">
        <v>0</v>
      </c>
      <c r="I24" s="14"/>
      <c r="J24" s="13"/>
      <c r="K24" s="13"/>
      <c r="L24" s="13">
        <v>0</v>
      </c>
      <c r="M24" s="4"/>
      <c r="N24" s="4"/>
      <c r="O24" s="4"/>
    </row>
    <row r="25" ht="14.25">
      <c r="A25" s="13"/>
      <c r="B25" s="13"/>
      <c r="C25" s="13"/>
      <c r="D25" s="13">
        <v>0</v>
      </c>
      <c r="E25" s="14"/>
      <c r="F25" s="13"/>
      <c r="G25" s="13"/>
      <c r="H25" s="13">
        <v>0</v>
      </c>
      <c r="I25" s="14"/>
      <c r="J25" s="13"/>
      <c r="K25" s="13"/>
      <c r="L25" s="13">
        <v>0</v>
      </c>
      <c r="M25" s="4"/>
      <c r="N25" s="4"/>
      <c r="O25" s="4"/>
    </row>
    <row r="26" ht="14.25">
      <c r="A26" s="13"/>
      <c r="B26" s="13"/>
      <c r="C26" s="13"/>
      <c r="D26" s="13">
        <v>0</v>
      </c>
      <c r="E26" s="14"/>
      <c r="F26" s="13"/>
      <c r="G26" s="13"/>
      <c r="H26" s="13">
        <v>0</v>
      </c>
      <c r="I26" s="14"/>
      <c r="J26" s="13"/>
      <c r="K26" s="13"/>
      <c r="L26" s="13">
        <v>0</v>
      </c>
      <c r="M26" s="4"/>
      <c r="N26" s="4"/>
      <c r="O26" s="4"/>
    </row>
  </sheetData>
  <conditionalFormatting sqref="O3">
    <cfRule type="colorScale" priority="1">
      <colorScale>
        <cfvo type="num" val="$O$6"/>
        <cfvo type="num" val="$O$5"/>
        <cfvo type="num" val="$O$4"/>
        <color rgb="FF92D050"/>
        <color indexed="5"/>
        <color indexed="2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" width="30.7109375"/>
    <col bestFit="1" customWidth="1" min="2" max="2" style="1" width="7.00390625"/>
    <col bestFit="1" customWidth="1" min="3" max="3" style="1" width="7.57421875"/>
    <col bestFit="1" customWidth="1" min="4" max="4" style="1" width="10.421875"/>
    <col customWidth="1" min="5" max="5" style="1" width="30.7109375"/>
    <col bestFit="1" customWidth="1" min="6" max="6" style="1" width="7.00390625"/>
    <col bestFit="1" customWidth="1" min="7" max="7" style="1" width="7.57421875"/>
    <col bestFit="1" customWidth="1" min="8" max="8" style="1" width="10.421875"/>
    <col customWidth="1" min="9" max="9" style="1" width="30.7109375"/>
    <col bestFit="1" customWidth="1" min="10" max="10" style="1" width="7.00390625"/>
    <col bestFit="1" customWidth="1" min="11" max="11" style="1" width="7.57421875"/>
    <col bestFit="1" customWidth="1" min="12" max="12" style="1" width="10.421875"/>
    <col min="13" max="13" style="1" width="9.140625"/>
    <col bestFit="1" min="14" max="14" style="1" width="11.8515625"/>
    <col min="15" max="16384" style="1" width="9.140625"/>
  </cols>
  <sheetData>
    <row r="1">
      <c r="A1" s="2" t="s">
        <v>11</v>
      </c>
      <c r="B1" s="2" t="s">
        <v>1</v>
      </c>
      <c r="C1" s="2" t="s">
        <v>2</v>
      </c>
      <c r="D1" s="2" t="s">
        <v>3</v>
      </c>
      <c r="E1" s="3" t="s">
        <v>11</v>
      </c>
      <c r="F1" s="2" t="s">
        <v>1</v>
      </c>
      <c r="G1" s="2" t="s">
        <v>2</v>
      </c>
      <c r="H1" s="2" t="s">
        <v>3</v>
      </c>
      <c r="I1" s="3" t="s">
        <v>11</v>
      </c>
      <c r="J1" s="2" t="s">
        <v>1</v>
      </c>
      <c r="K1" s="2" t="s">
        <v>2</v>
      </c>
      <c r="L1" s="2" t="s">
        <v>3</v>
      </c>
      <c r="M1" s="4"/>
      <c r="N1" s="5" t="s">
        <v>6</v>
      </c>
      <c r="O1" s="6">
        <f>SUM(D2:D21,H2:H21,L2:L21)</f>
        <v>0</v>
      </c>
    </row>
    <row r="2" ht="14.25">
      <c r="A2" s="7"/>
      <c r="B2" s="7"/>
      <c r="C2" s="7"/>
      <c r="D2" s="7">
        <f t="shared" ref="D2:D9" si="28">B2*C2</f>
        <v>0</v>
      </c>
      <c r="E2" s="8"/>
      <c r="F2" s="7"/>
      <c r="G2" s="7"/>
      <c r="H2" s="7">
        <f t="shared" ref="H2:H9" si="29">F2*G2</f>
        <v>0</v>
      </c>
      <c r="I2" s="8"/>
      <c r="J2" s="7"/>
      <c r="K2" s="7"/>
      <c r="L2" s="7">
        <f t="shared" ref="L2:L9" si="30">J2*K2</f>
        <v>0</v>
      </c>
      <c r="M2" s="4"/>
      <c r="N2" s="5" t="s">
        <v>7</v>
      </c>
      <c r="O2" s="6">
        <f>SUM(B2:B20,F2:F20,J2:J20)</f>
        <v>0</v>
      </c>
    </row>
    <row r="3" ht="14.25">
      <c r="A3" s="7"/>
      <c r="B3" s="7"/>
      <c r="C3" s="7"/>
      <c r="D3" s="7">
        <f t="shared" si="28"/>
        <v>0</v>
      </c>
      <c r="E3" s="8"/>
      <c r="F3" s="7"/>
      <c r="G3" s="7"/>
      <c r="H3" s="7">
        <f t="shared" si="29"/>
        <v>0</v>
      </c>
      <c r="I3" s="8"/>
      <c r="J3" s="7"/>
      <c r="K3" s="7"/>
      <c r="L3" s="7">
        <f t="shared" si="30"/>
        <v>0</v>
      </c>
      <c r="M3" s="4"/>
      <c r="N3" s="5"/>
      <c r="O3" s="6"/>
    </row>
    <row r="4" ht="14.25">
      <c r="A4" s="7"/>
      <c r="B4" s="7"/>
      <c r="C4" s="7"/>
      <c r="D4" s="7">
        <f t="shared" si="28"/>
        <v>0</v>
      </c>
      <c r="E4" s="8"/>
      <c r="F4" s="7"/>
      <c r="G4" s="7"/>
      <c r="H4" s="7">
        <f t="shared" si="29"/>
        <v>0</v>
      </c>
      <c r="I4" s="8"/>
      <c r="J4" s="7"/>
      <c r="K4" s="7"/>
      <c r="L4" s="7">
        <f t="shared" si="30"/>
        <v>0</v>
      </c>
      <c r="M4" s="4"/>
      <c r="N4" s="5" t="s">
        <v>12</v>
      </c>
      <c r="O4" s="6">
        <v>5</v>
      </c>
    </row>
    <row r="5" ht="14.25">
      <c r="A5" s="7"/>
      <c r="B5" s="7"/>
      <c r="C5" s="7"/>
      <c r="D5" s="7">
        <f t="shared" si="28"/>
        <v>0</v>
      </c>
      <c r="E5" s="8"/>
      <c r="F5" s="7"/>
      <c r="G5" s="7"/>
      <c r="H5" s="7">
        <f t="shared" si="29"/>
        <v>0</v>
      </c>
      <c r="I5" s="8"/>
      <c r="J5" s="7"/>
      <c r="K5" s="7"/>
      <c r="L5" s="7">
        <f t="shared" si="30"/>
        <v>0</v>
      </c>
      <c r="M5" s="4"/>
      <c r="N5" s="5" t="s">
        <v>8</v>
      </c>
      <c r="O5" s="6">
        <v>30</v>
      </c>
    </row>
    <row r="6" ht="14.25">
      <c r="A6" s="7"/>
      <c r="B6" s="7"/>
      <c r="C6" s="7"/>
      <c r="D6" s="7">
        <f t="shared" si="28"/>
        <v>0</v>
      </c>
      <c r="E6" s="8"/>
      <c r="F6" s="7"/>
      <c r="G6" s="7"/>
      <c r="H6" s="7">
        <f t="shared" si="29"/>
        <v>0</v>
      </c>
      <c r="I6" s="8"/>
      <c r="J6" s="7"/>
      <c r="K6" s="7"/>
      <c r="L6" s="7">
        <f t="shared" si="30"/>
        <v>0</v>
      </c>
      <c r="M6" s="4"/>
      <c r="N6" s="15">
        <v>0.94999999999999996</v>
      </c>
      <c r="O6" s="10">
        <f>O5*0.95</f>
        <v>28.5</v>
      </c>
    </row>
    <row r="7" ht="14.25">
      <c r="A7" s="7"/>
      <c r="B7" s="7"/>
      <c r="C7" s="7"/>
      <c r="D7" s="7">
        <f t="shared" si="28"/>
        <v>0</v>
      </c>
      <c r="E7" s="8"/>
      <c r="F7" s="7"/>
      <c r="G7" s="7"/>
      <c r="H7" s="7">
        <f t="shared" si="29"/>
        <v>0</v>
      </c>
      <c r="I7" s="8"/>
      <c r="J7" s="7"/>
      <c r="K7" s="7"/>
      <c r="L7" s="7">
        <f t="shared" si="30"/>
        <v>0</v>
      </c>
      <c r="M7" s="4"/>
      <c r="N7" s="16">
        <v>0.90000000000000002</v>
      </c>
      <c r="O7" s="12">
        <f>O5*0.9</f>
        <v>27</v>
      </c>
    </row>
    <row r="8" ht="14.25">
      <c r="A8" s="7"/>
      <c r="B8" s="7"/>
      <c r="C8" s="7"/>
      <c r="D8" s="7">
        <f t="shared" si="28"/>
        <v>0</v>
      </c>
      <c r="E8" s="8"/>
      <c r="F8" s="7"/>
      <c r="G8" s="7"/>
      <c r="H8" s="7">
        <f t="shared" si="29"/>
        <v>0</v>
      </c>
      <c r="I8" s="8"/>
      <c r="J8" s="7"/>
      <c r="K8" s="7"/>
      <c r="L8" s="7">
        <f t="shared" si="30"/>
        <v>0</v>
      </c>
      <c r="M8" s="4"/>
      <c r="N8" s="4"/>
      <c r="O8" s="4"/>
    </row>
    <row r="9" ht="14.25">
      <c r="A9" s="7"/>
      <c r="B9" s="7"/>
      <c r="C9" s="7"/>
      <c r="D9" s="7">
        <f t="shared" si="28"/>
        <v>0</v>
      </c>
      <c r="E9" s="8"/>
      <c r="F9" s="7"/>
      <c r="G9" s="7"/>
      <c r="H9" s="7">
        <f t="shared" si="29"/>
        <v>0</v>
      </c>
      <c r="I9" s="8"/>
      <c r="J9" s="7"/>
      <c r="K9" s="7"/>
      <c r="L9" s="7">
        <f t="shared" si="30"/>
        <v>0</v>
      </c>
      <c r="M9" s="4"/>
      <c r="N9" s="4"/>
      <c r="O9" s="4"/>
    </row>
    <row r="10" ht="14.25">
      <c r="A10" s="7"/>
      <c r="B10" s="7"/>
      <c r="C10" s="7"/>
      <c r="D10" s="7">
        <f t="shared" ref="D10:D20" si="31">B10*C10</f>
        <v>0</v>
      </c>
      <c r="E10" s="8"/>
      <c r="F10" s="7"/>
      <c r="G10" s="7"/>
      <c r="H10" s="7">
        <f t="shared" ref="H10:H20" si="32">F10*G10</f>
        <v>0</v>
      </c>
      <c r="I10" s="8"/>
      <c r="J10" s="7"/>
      <c r="K10" s="7"/>
      <c r="L10" s="7">
        <f t="shared" ref="L10:L20" si="33">J10*K10</f>
        <v>0</v>
      </c>
      <c r="M10" s="4"/>
      <c r="N10" s="4"/>
      <c r="O10" s="4"/>
    </row>
    <row r="11" ht="14.25">
      <c r="A11" s="7"/>
      <c r="B11" s="7"/>
      <c r="C11" s="7"/>
      <c r="D11" s="7">
        <f t="shared" si="31"/>
        <v>0</v>
      </c>
      <c r="E11" s="8"/>
      <c r="F11" s="7"/>
      <c r="G11" s="7"/>
      <c r="H11" s="7">
        <f t="shared" si="32"/>
        <v>0</v>
      </c>
      <c r="I11" s="8"/>
      <c r="J11" s="7"/>
      <c r="K11" s="7"/>
      <c r="L11" s="7">
        <f t="shared" si="33"/>
        <v>0</v>
      </c>
      <c r="M11" s="4"/>
      <c r="N11" s="4"/>
      <c r="O11" s="4"/>
    </row>
    <row r="12" ht="14.25">
      <c r="A12" s="7"/>
      <c r="B12" s="7"/>
      <c r="C12" s="7"/>
      <c r="D12" s="7">
        <f t="shared" si="31"/>
        <v>0</v>
      </c>
      <c r="E12" s="8"/>
      <c r="F12" s="7"/>
      <c r="G12" s="7"/>
      <c r="H12" s="7">
        <f t="shared" si="32"/>
        <v>0</v>
      </c>
      <c r="I12" s="8"/>
      <c r="J12" s="7"/>
      <c r="K12" s="7"/>
      <c r="L12" s="7">
        <f t="shared" si="33"/>
        <v>0</v>
      </c>
      <c r="M12" s="4"/>
      <c r="N12" s="4"/>
      <c r="O12" s="4"/>
    </row>
    <row r="13" ht="14.25">
      <c r="A13" s="7"/>
      <c r="B13" s="7"/>
      <c r="C13" s="7"/>
      <c r="D13" s="7">
        <f t="shared" si="31"/>
        <v>0</v>
      </c>
      <c r="E13" s="8"/>
      <c r="F13" s="7"/>
      <c r="G13" s="7"/>
      <c r="H13" s="7">
        <f t="shared" si="32"/>
        <v>0</v>
      </c>
      <c r="I13" s="8"/>
      <c r="J13" s="7"/>
      <c r="K13" s="7"/>
      <c r="L13" s="7">
        <f t="shared" si="33"/>
        <v>0</v>
      </c>
      <c r="M13" s="4"/>
      <c r="N13" s="4"/>
      <c r="O13" s="4"/>
    </row>
    <row r="14" ht="14.25">
      <c r="A14" s="7"/>
      <c r="B14" s="7"/>
      <c r="C14" s="7"/>
      <c r="D14" s="7">
        <f t="shared" si="31"/>
        <v>0</v>
      </c>
      <c r="E14" s="8"/>
      <c r="F14" s="7"/>
      <c r="G14" s="7"/>
      <c r="H14" s="7">
        <f t="shared" si="32"/>
        <v>0</v>
      </c>
      <c r="I14" s="8"/>
      <c r="J14" s="7"/>
      <c r="K14" s="7"/>
      <c r="L14" s="7">
        <f t="shared" si="33"/>
        <v>0</v>
      </c>
      <c r="M14" s="4"/>
      <c r="N14" s="4"/>
      <c r="O14" s="4"/>
    </row>
    <row r="15" ht="14.25">
      <c r="A15" s="7"/>
      <c r="B15" s="7"/>
      <c r="C15" s="7"/>
      <c r="D15" s="7">
        <f t="shared" si="31"/>
        <v>0</v>
      </c>
      <c r="E15" s="8"/>
      <c r="F15" s="7"/>
      <c r="G15" s="7"/>
      <c r="H15" s="7">
        <f t="shared" si="32"/>
        <v>0</v>
      </c>
      <c r="I15" s="8"/>
      <c r="J15" s="7"/>
      <c r="K15" s="7"/>
      <c r="L15" s="7">
        <f t="shared" si="33"/>
        <v>0</v>
      </c>
      <c r="M15" s="4"/>
      <c r="N15" s="4"/>
      <c r="O15" s="4"/>
    </row>
    <row r="16" ht="14.25">
      <c r="A16" s="7"/>
      <c r="B16" s="7"/>
      <c r="C16" s="7"/>
      <c r="D16" s="7">
        <f t="shared" si="31"/>
        <v>0</v>
      </c>
      <c r="E16" s="8"/>
      <c r="F16" s="7"/>
      <c r="G16" s="7"/>
      <c r="H16" s="7">
        <f t="shared" si="32"/>
        <v>0</v>
      </c>
      <c r="I16" s="8"/>
      <c r="J16" s="7"/>
      <c r="K16" s="7"/>
      <c r="L16" s="7">
        <f t="shared" si="33"/>
        <v>0</v>
      </c>
      <c r="M16" s="4"/>
      <c r="N16" s="4"/>
      <c r="O16" s="4"/>
    </row>
    <row r="17" ht="14.25">
      <c r="A17" s="7"/>
      <c r="B17" s="7"/>
      <c r="C17" s="7"/>
      <c r="D17" s="7">
        <f t="shared" si="31"/>
        <v>0</v>
      </c>
      <c r="E17" s="8"/>
      <c r="F17" s="7"/>
      <c r="G17" s="7"/>
      <c r="H17" s="7">
        <f t="shared" si="32"/>
        <v>0</v>
      </c>
      <c r="I17" s="8"/>
      <c r="J17" s="7"/>
      <c r="K17" s="7"/>
      <c r="L17" s="7">
        <f t="shared" si="33"/>
        <v>0</v>
      </c>
      <c r="M17" s="4"/>
      <c r="N17" s="4"/>
      <c r="O17" s="4"/>
    </row>
    <row r="18" ht="14.25">
      <c r="A18" s="7"/>
      <c r="B18" s="7"/>
      <c r="C18" s="7"/>
      <c r="D18" s="7">
        <f t="shared" si="31"/>
        <v>0</v>
      </c>
      <c r="E18" s="8"/>
      <c r="F18" s="7"/>
      <c r="G18" s="7"/>
      <c r="H18" s="7">
        <f t="shared" si="32"/>
        <v>0</v>
      </c>
      <c r="I18" s="8"/>
      <c r="J18" s="7"/>
      <c r="K18" s="7"/>
      <c r="L18" s="7">
        <f t="shared" si="33"/>
        <v>0</v>
      </c>
      <c r="M18" s="4"/>
      <c r="N18" s="4"/>
      <c r="O18" s="4"/>
    </row>
    <row r="19" ht="14.25">
      <c r="A19" s="7"/>
      <c r="B19" s="7"/>
      <c r="C19" s="7"/>
      <c r="D19" s="7">
        <f t="shared" si="31"/>
        <v>0</v>
      </c>
      <c r="E19" s="8"/>
      <c r="F19" s="7"/>
      <c r="G19" s="7"/>
      <c r="H19" s="7">
        <f t="shared" si="32"/>
        <v>0</v>
      </c>
      <c r="I19" s="8"/>
      <c r="J19" s="7"/>
      <c r="K19" s="7"/>
      <c r="L19" s="7">
        <f t="shared" si="33"/>
        <v>0</v>
      </c>
      <c r="M19" s="4"/>
      <c r="N19" s="4"/>
      <c r="O19" s="4"/>
    </row>
    <row r="20" ht="14.25">
      <c r="A20" s="13"/>
      <c r="B20" s="13"/>
      <c r="C20" s="13"/>
      <c r="D20" s="13">
        <f t="shared" si="31"/>
        <v>0</v>
      </c>
      <c r="E20" s="14"/>
      <c r="F20" s="13"/>
      <c r="G20" s="13"/>
      <c r="H20" s="13">
        <f t="shared" si="32"/>
        <v>0</v>
      </c>
      <c r="I20" s="14"/>
      <c r="J20" s="13"/>
      <c r="K20" s="13"/>
      <c r="L20" s="13">
        <f t="shared" si="33"/>
        <v>0</v>
      </c>
      <c r="M20" s="4"/>
      <c r="N20" s="4"/>
      <c r="O20" s="4"/>
    </row>
    <row r="21" ht="14.25">
      <c r="A21" s="13"/>
      <c r="B21" s="13"/>
      <c r="C21" s="13"/>
      <c r="D21" s="13">
        <v>0</v>
      </c>
      <c r="E21" s="14"/>
      <c r="F21" s="13"/>
      <c r="G21" s="13"/>
      <c r="H21" s="13">
        <v>0</v>
      </c>
      <c r="I21" s="14"/>
      <c r="J21" s="13"/>
      <c r="K21" s="13"/>
      <c r="L21" s="13">
        <v>0</v>
      </c>
      <c r="M21" s="4"/>
      <c r="N21" s="4"/>
      <c r="O21" s="4"/>
    </row>
  </sheetData>
  <conditionalFormatting sqref="O3">
    <cfRule type="colorScale" priority="1">
      <colorScale>
        <cfvo type="num" val="$O$6"/>
        <cfvo type="num" val="$O$5"/>
        <cfvo type="num" val="$O$4"/>
        <color rgb="FF92D050"/>
        <color indexed="5"/>
        <color indexed="2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2025-07-07T23:33:57Z</dcterms:modified>
</cp:coreProperties>
</file>